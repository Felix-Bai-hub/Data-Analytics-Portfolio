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21讲-经典Excel动态图表实现原理\"/>
    </mc:Choice>
  </mc:AlternateContent>
  <xr:revisionPtr revIDLastSave="0" documentId="13_ncr:1_{1069D3EB-8746-4223-8831-DD067795106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彩盒">IF(Sheet1!$H$2,Sheet1!$B$2:$B$13,Sheet1!$F$2:$F$13)</definedName>
    <definedName name="成交量">OFFSET(Sheet2!$B$1,COUNTA(Sheet2!$B:$B)-10,0,10,1)</definedName>
    <definedName name="成交量表三">OFFSET(Sheet3!$B$1,Sheet3!$E$3,0,Sheet3!$E$5,1)</definedName>
    <definedName name="宠物用品">IF(Sheet1!$H$4,Sheet1!$C$2:$C$13,Sheet1!$F$2:$F$13)</definedName>
    <definedName name="日期">OFFSET(Sheet2!$A$1,COUNTA(Sheet2!$A:$A)-10,0,10,1)</definedName>
    <definedName name="日期表三">OFFSET(Sheet3!$A$1,Sheet3!$E$3,0,Sheet3!$E$5,1)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3" l="1"/>
  <c r="D7" i="2"/>
  <c r="I8" i="1"/>
  <c r="H8" i="1"/>
</calcChain>
</file>

<file path=xl/sharedStrings.xml><?xml version="1.0" encoding="utf-8"?>
<sst xmlns="http://schemas.openxmlformats.org/spreadsheetml/2006/main" count="138" uniqueCount="119">
  <si>
    <t>订购日期</t>
  </si>
  <si>
    <t>彩盒</t>
  </si>
  <si>
    <t>宠物用品</t>
  </si>
  <si>
    <t>警告标</t>
  </si>
  <si>
    <t>暖靴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</si>
  <si>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</si>
  <si>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</si>
  <si>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</si>
  <si>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</si>
  <si>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</si>
  <si>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</si>
  <si>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</si>
  <si>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</si>
  <si>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</si>
  <si>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</si>
  <si>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</si>
  <si>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</si>
  <si>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`</t>
    <phoneticPr fontId="1" type="noConversion"/>
  </si>
  <si>
    <t>日期</t>
  </si>
  <si>
    <t>成交量</t>
  </si>
  <si>
    <t xml:space="preserve"> 2006/12/06</t>
  </si>
  <si>
    <t xml:space="preserve"> 2006/12/07</t>
  </si>
  <si>
    <t xml:space="preserve"> 2006/12/08</t>
  </si>
  <si>
    <t xml:space="preserve"> 2006/12/11</t>
  </si>
  <si>
    <t xml:space="preserve"> 2006/12/12</t>
  </si>
  <si>
    <t xml:space="preserve"> 2006/12/13</t>
  </si>
  <si>
    <t xml:space="preserve"> 2006/12/14</t>
  </si>
  <si>
    <t xml:space="preserve"> 2006/12/15</t>
  </si>
  <si>
    <t xml:space="preserve"> 2006/12/18</t>
  </si>
  <si>
    <t xml:space="preserve"> 2006/12/19</t>
  </si>
  <si>
    <t xml:space="preserve"> 2006/12/20</t>
  </si>
  <si>
    <t xml:space="preserve"> 2006/12/21</t>
  </si>
  <si>
    <t xml:space="preserve"> 2006/12/22</t>
  </si>
  <si>
    <t xml:space="preserve"> 2006/12/25</t>
  </si>
  <si>
    <t xml:space="preserve"> 2006/12/26</t>
  </si>
  <si>
    <t xml:space="preserve"> 2006/12/27</t>
  </si>
  <si>
    <t xml:space="preserve"> 2006/12/28</t>
  </si>
  <si>
    <t xml:space="preserve"> 2006/12/29</t>
  </si>
  <si>
    <t xml:space="preserve"> 2007/01/04</t>
  </si>
  <si>
    <t xml:space="preserve"> 2007/01/05</t>
  </si>
  <si>
    <t xml:space="preserve"> 2007/01/08</t>
  </si>
  <si>
    <t xml:space="preserve"> 2007/01/09</t>
  </si>
  <si>
    <t xml:space="preserve"> 2007/01/10</t>
  </si>
  <si>
    <t xml:space="preserve"> 2007/01/11</t>
  </si>
  <si>
    <t xml:space="preserve"> 2007/01/12</t>
  </si>
  <si>
    <t xml:space="preserve"> 2007/01/15</t>
  </si>
  <si>
    <t xml:space="preserve"> 2007/01/16</t>
  </si>
  <si>
    <t xml:space="preserve"> 2007/01/17</t>
  </si>
  <si>
    <t xml:space="preserve"> 2007/01/18</t>
  </si>
  <si>
    <t xml:space="preserve"> 2007/01/19</t>
  </si>
  <si>
    <t xml:space="preserve"> 2007/01/22</t>
  </si>
  <si>
    <t xml:space="preserve"> 2007/01/23</t>
  </si>
  <si>
    <t xml:space="preserve"> 2007/01/24</t>
  </si>
  <si>
    <t xml:space="preserve"> 2007/01/25</t>
  </si>
  <si>
    <t xml:space="preserve"> 2007/01/26</t>
  </si>
  <si>
    <t xml:space="preserve"> 2007/01/29</t>
  </si>
  <si>
    <t xml:space="preserve"> 2007/01/30</t>
  </si>
  <si>
    <t xml:space="preserve"> 2007/01/31</t>
  </si>
  <si>
    <t xml:space="preserve"> 2007/02/01</t>
  </si>
  <si>
    <t xml:space="preserve"> 2007/02/02</t>
  </si>
  <si>
    <t xml:space="preserve"> 2007/02/05</t>
  </si>
  <si>
    <t xml:space="preserve"> 2007/02/06</t>
  </si>
  <si>
    <t xml:space="preserve"> 2007/02/07</t>
  </si>
  <si>
    <t xml:space="preserve"> 2007/02/08</t>
  </si>
  <si>
    <t xml:space="preserve"> 2007/02/09</t>
  </si>
  <si>
    <t xml:space="preserve"> 2007/02/12</t>
  </si>
  <si>
    <t xml:space="preserve"> 2007/02/13</t>
  </si>
  <si>
    <t xml:space="preserve"> 2007/02/14</t>
  </si>
  <si>
    <t xml:space="preserve"> 2007/02/15</t>
  </si>
  <si>
    <t xml:space="preserve"> 2007/02/16</t>
  </si>
  <si>
    <t xml:space="preserve"> 2007/02/26</t>
  </si>
  <si>
    <t xml:space="preserve"> 2007/02/27</t>
  </si>
  <si>
    <t xml:space="preserve"> 2007/02/28</t>
  </si>
  <si>
    <t xml:space="preserve"> 2007/03/01</t>
  </si>
  <si>
    <t xml:space="preserve"> 2007/03/02</t>
  </si>
  <si>
    <t xml:space="preserve"> 2007/03/05</t>
  </si>
  <si>
    <t xml:space="preserve"> 2007/03/06</t>
  </si>
  <si>
    <t xml:space="preserve"> 2007/03/07</t>
  </si>
  <si>
    <t xml:space="preserve"> 2007/03/08</t>
  </si>
  <si>
    <t xml:space="preserve"> 2007/03/09</t>
  </si>
  <si>
    <t xml:space="preserve"> 2007/03/12</t>
  </si>
  <si>
    <t xml:space="preserve"> 2007/03/13</t>
  </si>
  <si>
    <t xml:space="preserve"> 2007/03/14</t>
  </si>
  <si>
    <t xml:space="preserve"> 2007/03/15</t>
  </si>
  <si>
    <t xml:space="preserve"> 2007/03/16</t>
  </si>
  <si>
    <t xml:space="preserve"> 2007/03/19</t>
  </si>
  <si>
    <t xml:space="preserve"> 2007/03/20</t>
  </si>
  <si>
    <t xml:space="preserve"> 2007/03/21</t>
  </si>
  <si>
    <t xml:space="preserve"> 2007/03/22</t>
  </si>
  <si>
    <t xml:space="preserve"> 2007/03/23</t>
  </si>
  <si>
    <t xml:space="preserve"> 2007/03/26</t>
  </si>
  <si>
    <t xml:space="preserve"> 2007/03/27</t>
  </si>
  <si>
    <t xml:space="preserve"> 2007/03/28</t>
  </si>
  <si>
    <t xml:space="preserve"> 2007/03/29</t>
  </si>
  <si>
    <t xml:space="preserve"> 2007/03/30</t>
  </si>
  <si>
    <t xml:space="preserve"> 2007/04/02</t>
  </si>
  <si>
    <t xml:space="preserve"> 2007/04/03</t>
  </si>
  <si>
    <t xml:space="preserve"> 2007/04/04</t>
  </si>
  <si>
    <t xml:space="preserve"> 2007/04/05</t>
  </si>
  <si>
    <t xml:space="preserve"> 2007/04/06</t>
  </si>
  <si>
    <t xml:space="preserve"> 2007/04/09</t>
  </si>
  <si>
    <t xml:space="preserve"> 2007/04/10</t>
  </si>
  <si>
    <t xml:space="preserve"> 2007/04/11</t>
  </si>
  <si>
    <t xml:space="preserve"> 2007/04/12</t>
  </si>
  <si>
    <t xml:space="preserve"> 2007/04/13</t>
  </si>
  <si>
    <t xml:space="preserve"> 2007/04/16</t>
  </si>
  <si>
    <t xml:space="preserve"> 2007/04/17</t>
  </si>
  <si>
    <t xml:space="preserve"> 2007/04/18</t>
  </si>
  <si>
    <t xml:space="preserve"> 2007/04/19</t>
  </si>
  <si>
    <t xml:space="preserve"> 2007/04/20</t>
  </si>
  <si>
    <t xml:space="preserve"> 2007/04/23</t>
  </si>
  <si>
    <t xml:space="preserve"> 2007/04/24</t>
  </si>
  <si>
    <t xml:space="preserve"> 2007/04/25</t>
  </si>
  <si>
    <t xml:space="preserve"> 2007/04/26</t>
  </si>
  <si>
    <t xml:space="preserve"> 2007/04/27</t>
  </si>
  <si>
    <t xml:space="preserve"> 2007/04/30</t>
  </si>
  <si>
    <t xml:space="preserve"> 2007/05/08</t>
  </si>
  <si>
    <t xml:space="preserve"> 2007/05/09</t>
  </si>
  <si>
    <t xml:space="preserve"> 2007/05/10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</si>
</sst>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Microsoft YaHei U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176" fontId="0" fillId="0" borderId="3" xfId="0" applyNumberFormat="1" applyBorder="1"/>
    <xf numFmtId="176" fontId="0" fillId="0" borderId="4" xfId="0" applyNumberFormat="1" applyBorder="1"/>
    <xf numFmtId="176" fontId="0" fillId="0" borderId="0" xfId="0" applyNumberFormat="1"/>
    <xf numFmtId="176" fontId="0" fillId="0" borderId="5" xfId="0" applyNumberFormat="1" applyBorder="1"/>
    <xf numFmtId="176" fontId="0" fillId="0" borderId="6" xfId="0" applyNumberFormat="1" applyBorder="1"/>
    <xf numFmtId="176" fontId="0" fillId="0" borderId="7" xfId="0" applyNumberFormat="1" applyBorder="1"/>
    <xf numFmtId="176" fontId="0" fillId="0" borderId="8" xfId="0" applyNumberFormat="1" applyBorder="1"/>
    <xf numFmtId="0" fontId="3" fillId="2" borderId="0" xfId="1" applyFill="1" applyAlignment="1">
      <alignment horizontal="center" vertical="center"/>
    </xf>
    <xf numFmtId="0" fontId="3" fillId="0" borderId="0" xfId="1">
      <alignment vertical="center"/>
    </xf>
  </cellXfs>
  <cellStyles count="2">
    <cellStyle name="常规" xfId="0" builtinId="0"/>
    <cellStyle name="常规 3" xfId="1" xr:uid="{74A1020E-C277-494C-B632-1EDDC74B65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彩盒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[0]!彩盒</c:f>
              <c:numCache>
                <c:formatCode>0.0_);[Red]\(0.0\)</c:formatCode>
                <c:ptCount val="12"/>
                <c:pt idx="0">
                  <c:v>382003.87466317433</c:v>
                </c:pt>
                <c:pt idx="1">
                  <c:v>222520.24863675001</c:v>
                </c:pt>
                <c:pt idx="2">
                  <c:v>507398.66051713837</c:v>
                </c:pt>
                <c:pt idx="3">
                  <c:v>582530.53595565644</c:v>
                </c:pt>
                <c:pt idx="4">
                  <c:v>401726.38019999996</c:v>
                </c:pt>
                <c:pt idx="5">
                  <c:v>334359.90538649994</c:v>
                </c:pt>
                <c:pt idx="6">
                  <c:v>510118.95270869997</c:v>
                </c:pt>
                <c:pt idx="7">
                  <c:v>220130.08582283329</c:v>
                </c:pt>
                <c:pt idx="8">
                  <c:v>373503.19573377562</c:v>
                </c:pt>
                <c:pt idx="9">
                  <c:v>439424.08198979998</c:v>
                </c:pt>
                <c:pt idx="10">
                  <c:v>428661.55981269229</c:v>
                </c:pt>
                <c:pt idx="11">
                  <c:v>692964.70983135386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5-4E23-A9EA-6349064ECEE2}"/>
            </c:ext>
          </c:extLst>
        </c:ser>
        <c:ser>
          <c:idx val="1"/>
          <c:order val="1"/>
          <c:tx>
            <c:v>宠物用品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[0]!宠物用品</c:f>
              <c:numCache>
                <c:formatCode>0.0_);[Red]\(0.0\)</c:formatCode>
                <c:ptCount val="12"/>
                <c:pt idx="0">
                  <c:v>364203.55034234998</c:v>
                </c:pt>
                <c:pt idx="1">
                  <c:v>181175.6692077</c:v>
                </c:pt>
                <c:pt idx="2">
                  <c:v>867964.09338029998</c:v>
                </c:pt>
                <c:pt idx="3">
                  <c:v>1153034.6644533002</c:v>
                </c:pt>
                <c:pt idx="4">
                  <c:v>381435.69970230001</c:v>
                </c:pt>
                <c:pt idx="5">
                  <c:v>309793.18063531793</c:v>
                </c:pt>
                <c:pt idx="6">
                  <c:v>580041.42196274991</c:v>
                </c:pt>
                <c:pt idx="7">
                  <c:v>150589.96349085</c:v>
                </c:pt>
                <c:pt idx="8">
                  <c:v>408638.32068263076</c:v>
                </c:pt>
                <c:pt idx="9">
                  <c:v>305883.12260909996</c:v>
                </c:pt>
                <c:pt idx="10">
                  <c:v>194589.08705879995</c:v>
                </c:pt>
                <c:pt idx="11">
                  <c:v>111893.04873600001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5-4E23-A9EA-6349064EC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044384"/>
        <c:axId val="949036224"/>
      </c:lineChart>
      <c:catAx>
        <c:axId val="9490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9036224"/>
        <c:crosses val="autoZero"/>
        <c:auto val="1"/>
        <c:lblAlgn val="ctr"/>
        <c:lblOffset val="100"/>
        <c:noMultiLvlLbl val="0"/>
      </c:catAx>
      <c:valAx>
        <c:axId val="949036224"/>
        <c:scaling>
          <c:orientation val="minMax"/>
          <c:max val="1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90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55555555555558"/>
          <c:y val="0.42187445319335082"/>
          <c:w val="0.18333333333333332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成交量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[0]!日期</c:f>
              <c:strCache>
                <c:ptCount val="10"/>
                <c:pt idx="0">
                  <c:v> 2006/12/15</c:v>
                </c:pt>
                <c:pt idx="1">
                  <c:v> 2006/12/18</c:v>
                </c:pt>
                <c:pt idx="2">
                  <c:v> 2006/12/19</c:v>
                </c:pt>
                <c:pt idx="3">
                  <c:v> 2006/12/20</c:v>
                </c:pt>
                <c:pt idx="4">
                  <c:v> 2006/12/21</c:v>
                </c:pt>
                <c:pt idx="5">
                  <c:v> 2006/12/22</c:v>
                </c:pt>
                <c:pt idx="6">
                  <c:v> 2006/12/25</c:v>
                </c:pt>
                <c:pt idx="7">
                  <c:v> 2006/12/26</c:v>
                </c:pt>
                <c:pt idx="8">
                  <c:v> 2006/12/27</c:v>
                </c:pt>
                <c:pt idx="9">
                  <c:v> 2006/12/27</c:v>
                </c:pt>
              </c:strCache>
            </c:strRef>
          </c:cat>
          <c:val>
            <c:numRef>
              <c:f>[0]!成交量</c:f>
              <c:numCache>
                <c:formatCode>General</c:formatCode>
                <c:ptCount val="10"/>
                <c:pt idx="0">
                  <c:v>22487599</c:v>
                </c:pt>
                <c:pt idx="1">
                  <c:v>23940857</c:v>
                </c:pt>
                <c:pt idx="2">
                  <c:v>18424502</c:v>
                </c:pt>
                <c:pt idx="3">
                  <c:v>16769286</c:v>
                </c:pt>
                <c:pt idx="4">
                  <c:v>22173995</c:v>
                </c:pt>
                <c:pt idx="5">
                  <c:v>21280295</c:v>
                </c:pt>
                <c:pt idx="6">
                  <c:v>32943083</c:v>
                </c:pt>
                <c:pt idx="7">
                  <c:v>22223575</c:v>
                </c:pt>
                <c:pt idx="8">
                  <c:v>19918132</c:v>
                </c:pt>
                <c:pt idx="9">
                  <c:v>19918132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E-4E8B-AEC7-06469B35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043904"/>
        <c:axId val="949043424"/>
      </c:barChart>
      <c:catAx>
        <c:axId val="9490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9043424"/>
        <c:crosses val="autoZero"/>
        <c:auto val="1"/>
        <c:lblAlgn val="ctr"/>
        <c:lblOffset val="100"/>
        <c:noMultiLvlLbl val="0"/>
      </c:catAx>
      <c:valAx>
        <c:axId val="9490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904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成交量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[0]!日期表三</c:f>
              <c:strCache>
                <c:ptCount val="20"/>
                <c:pt idx="0">
                  <c:v> 2007/02/07</c:v>
                </c:pt>
                <c:pt idx="1">
                  <c:v> 2007/02/08</c:v>
                </c:pt>
                <c:pt idx="2">
                  <c:v> 2007/02/09</c:v>
                </c:pt>
                <c:pt idx="3">
                  <c:v> 2007/02/12</c:v>
                </c:pt>
                <c:pt idx="4">
                  <c:v> 2007/02/13</c:v>
                </c:pt>
                <c:pt idx="5">
                  <c:v> 2007/02/14</c:v>
                </c:pt>
                <c:pt idx="6">
                  <c:v> 2007/02/15</c:v>
                </c:pt>
                <c:pt idx="7">
                  <c:v> 2007/02/16</c:v>
                </c:pt>
                <c:pt idx="8">
                  <c:v> 2007/02/26</c:v>
                </c:pt>
                <c:pt idx="9">
                  <c:v> 2007/02/27</c:v>
                </c:pt>
                <c:pt idx="10">
                  <c:v> 2007/02/28</c:v>
                </c:pt>
                <c:pt idx="11">
                  <c:v> 2007/03/01</c:v>
                </c:pt>
                <c:pt idx="12">
                  <c:v> 2007/03/02</c:v>
                </c:pt>
                <c:pt idx="13">
                  <c:v> 2007/03/05</c:v>
                </c:pt>
                <c:pt idx="14">
                  <c:v> 2007/03/06</c:v>
                </c:pt>
                <c:pt idx="15">
                  <c:v> 2007/03/07</c:v>
                </c:pt>
                <c:pt idx="16">
                  <c:v> 2007/03/08</c:v>
                </c:pt>
                <c:pt idx="17">
                  <c:v> 2007/03/09</c:v>
                </c:pt>
                <c:pt idx="18">
                  <c:v> 2007/03/12</c:v>
                </c:pt>
                <c:pt idx="19">
                  <c:v> 2007/03/13</c:v>
                </c:pt>
              </c:strCache>
            </c:strRef>
          </c:cat>
          <c:val>
            <c:numRef>
              <c:f>[0]!成交量表三</c:f>
              <c:numCache>
                <c:formatCode>General</c:formatCode>
                <c:ptCount val="20"/>
                <c:pt idx="0">
                  <c:v>40171146</c:v>
                </c:pt>
                <c:pt idx="1">
                  <c:v>16733808</c:v>
                </c:pt>
                <c:pt idx="2">
                  <c:v>16164196</c:v>
                </c:pt>
                <c:pt idx="3">
                  <c:v>14591761</c:v>
                </c:pt>
                <c:pt idx="4">
                  <c:v>10915882</c:v>
                </c:pt>
                <c:pt idx="5">
                  <c:v>13027003</c:v>
                </c:pt>
                <c:pt idx="6">
                  <c:v>13538672</c:v>
                </c:pt>
                <c:pt idx="7">
                  <c:v>22428437</c:v>
                </c:pt>
                <c:pt idx="8">
                  <c:v>25443200</c:v>
                </c:pt>
                <c:pt idx="9">
                  <c:v>38947514</c:v>
                </c:pt>
                <c:pt idx="10">
                  <c:v>33259504</c:v>
                </c:pt>
                <c:pt idx="11">
                  <c:v>23479344</c:v>
                </c:pt>
                <c:pt idx="12">
                  <c:v>23813051</c:v>
                </c:pt>
                <c:pt idx="13">
                  <c:v>18028659</c:v>
                </c:pt>
                <c:pt idx="14">
                  <c:v>54548408</c:v>
                </c:pt>
                <c:pt idx="15">
                  <c:v>33933759</c:v>
                </c:pt>
                <c:pt idx="16">
                  <c:v>12381372</c:v>
                </c:pt>
                <c:pt idx="17">
                  <c:v>30502367</c:v>
                </c:pt>
                <c:pt idx="18">
                  <c:v>18958375</c:v>
                </c:pt>
                <c:pt idx="19">
                  <c:v>11112101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2-495C-8BAA-E3560EDF2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761424"/>
        <c:axId val="940762864"/>
      </c:barChart>
      <c:catAx>
        <c:axId val="94076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762864"/>
        <c:crosses val="autoZero"/>
        <c:auto val="1"/>
        <c:lblAlgn val="ctr"/>
        <c:lblOffset val="100"/>
        <c:noMultiLvlLbl val="0"/>
      </c:catAx>
      <c:valAx>
        <c:axId val="9407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76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H$2" lockText="1" noThreeD="1"/>
</file>

<file path=xl/ctrlProps/ctrlProp2.xml><?xml version="1.0" encoding="utf-8"?>
<formControlPr xmlns="http://schemas.microsoft.com/office/spreadsheetml/2009/9/main" objectType="CheckBox" checked="Checked" fmlaLink="$H$4" lockText="1" noThreeD="1"/>
</file>

<file path=xl/ctrlProps/ctrlProp3.xml><?xml version="1.0" encoding="utf-8"?>
<formControlPr xmlns="http://schemas.microsoft.com/office/spreadsheetml/2009/9/main" objectType="Scroll" dx="31" fmlaLink="$E$3" horiz="1" max="100" min="1" page="10" val="43"/>
</file>

<file path=xl/ctrlProps/ctrlProp4.xml><?xml version="1.0" encoding="utf-8"?>
<formControlPr xmlns="http://schemas.microsoft.com/office/spreadsheetml/2009/9/main" objectType="Scroll" dx="31" fmlaLink="$E$5" horiz="1" max="100" min="1" page="10" val="2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10</xdr:row>
      <xdr:rowOff>149224</xdr:rowOff>
    </xdr:from>
    <xdr:to>
      <xdr:col>12</xdr:col>
      <xdr:colOff>514350</xdr:colOff>
      <xdr:row>29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5F4C15-4D28-3675-47B8-EE206FED9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18</xdr:row>
          <xdr:rowOff>101600</xdr:rowOff>
        </xdr:from>
        <xdr:to>
          <xdr:col>12</xdr:col>
          <xdr:colOff>139700</xdr:colOff>
          <xdr:row>20</xdr:row>
          <xdr:rowOff>82550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20</xdr:row>
          <xdr:rowOff>50800</xdr:rowOff>
        </xdr:from>
        <xdr:to>
          <xdr:col>11</xdr:col>
          <xdr:colOff>400050</xdr:colOff>
          <xdr:row>21</xdr:row>
          <xdr:rowOff>139700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3</xdr:row>
      <xdr:rowOff>85725</xdr:rowOff>
    </xdr:from>
    <xdr:to>
      <xdr:col>12</xdr:col>
      <xdr:colOff>0</xdr:colOff>
      <xdr:row>18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58C23D-14E0-C12B-1199-AB9DABBD6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</xdr:row>
          <xdr:rowOff>171450</xdr:rowOff>
        </xdr:from>
        <xdr:to>
          <xdr:col>7</xdr:col>
          <xdr:colOff>647700</xdr:colOff>
          <xdr:row>2</xdr:row>
          <xdr:rowOff>158750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3</xdr:row>
          <xdr:rowOff>120650</xdr:rowOff>
        </xdr:from>
        <xdr:to>
          <xdr:col>8</xdr:col>
          <xdr:colOff>0</xdr:colOff>
          <xdr:row>4</xdr:row>
          <xdr:rowOff>107950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565150</xdr:colOff>
      <xdr:row>9</xdr:row>
      <xdr:rowOff>98425</xdr:rowOff>
    </xdr:from>
    <xdr:to>
      <xdr:col>12</xdr:col>
      <xdr:colOff>514350</xdr:colOff>
      <xdr:row>24</xdr:row>
      <xdr:rowOff>174625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447426-F4C3-99C5-01D7-29B60B20B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5"/>
  <sheetViews>
    <sheetView topLeftCell="A13" workbookViewId="0">
      <selection activeCell="Q20" sqref="Q20"/>
    </sheetView>
  </sheetViews>
  <sheetFormatPr defaultRowHeight="14" x14ac:dyDescent="0.3"/>
  <cols>
    <col min="3" max="3" width="10.0820312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15" x14ac:dyDescent="0.3">
      <c r="A2" s="1" t="s">
        <v>5</v>
      </c>
      <c r="B2" s="1">
        <v>382003.87466317433</v>
      </c>
      <c r="C2" s="2">
        <v>364203.55034234998</v>
      </c>
      <c r="D2" s="2">
        <v>82190.393763</v>
      </c>
      <c r="E2" s="3">
        <v>57118.233818615379</v>
      </c>
      <c r="H2" t="b">
        <v>1</v>
      </c>
    </row>
    <row r="3" spans="1:15" x14ac:dyDescent="0.3">
      <c r="A3" s="4" t="s">
        <v>6</v>
      </c>
      <c r="B3" s="4">
        <v>222520.24863675001</v>
      </c>
      <c r="C3" s="5">
        <v>181175.6692077</v>
      </c>
      <c r="D3" s="5">
        <v>77177.717163208988</v>
      </c>
      <c r="E3" s="6">
        <v>282039.70225500001</v>
      </c>
    </row>
    <row r="4" spans="1:15" x14ac:dyDescent="0.3">
      <c r="A4" s="4" t="s">
        <v>7</v>
      </c>
      <c r="B4" s="4">
        <v>507398.66051713837</v>
      </c>
      <c r="C4" s="5">
        <v>867964.09338029998</v>
      </c>
      <c r="D4" s="5">
        <v>274581.57657788205</v>
      </c>
      <c r="E4" s="6">
        <v>267860.33682960004</v>
      </c>
      <c r="H4" t="b">
        <v>1</v>
      </c>
    </row>
    <row r="5" spans="1:15" x14ac:dyDescent="0.3">
      <c r="A5" s="1" t="s">
        <v>8</v>
      </c>
      <c r="B5" s="1">
        <v>582530.53595565644</v>
      </c>
      <c r="C5" s="2">
        <v>1153034.6644533002</v>
      </c>
      <c r="D5" s="2">
        <v>216350.26289699998</v>
      </c>
      <c r="E5" s="3">
        <v>152184.76943100002</v>
      </c>
    </row>
    <row r="6" spans="1:15" x14ac:dyDescent="0.3">
      <c r="A6" s="4" t="s">
        <v>9</v>
      </c>
      <c r="B6" s="4">
        <v>401726.38019999996</v>
      </c>
      <c r="C6" s="5">
        <v>381435.69970230001</v>
      </c>
      <c r="D6" s="5">
        <v>347903.07269691158</v>
      </c>
      <c r="E6" s="6">
        <v>392195.92825732048</v>
      </c>
    </row>
    <row r="7" spans="1:15" x14ac:dyDescent="0.3">
      <c r="A7" s="4" t="s">
        <v>10</v>
      </c>
      <c r="B7" s="4">
        <v>334359.90538649994</v>
      </c>
      <c r="C7" s="5">
        <v>309793.18063531793</v>
      </c>
      <c r="D7" s="5">
        <v>406920.52441379998</v>
      </c>
      <c r="E7" s="6">
        <v>257433.08298900002</v>
      </c>
    </row>
    <row r="8" spans="1:15" x14ac:dyDescent="0.3">
      <c r="A8" s="1" t="s">
        <v>11</v>
      </c>
      <c r="B8" s="1">
        <v>510118.95270869997</v>
      </c>
      <c r="C8" s="2">
        <v>580041.42196274991</v>
      </c>
      <c r="D8" s="2">
        <v>347489.67221009999</v>
      </c>
      <c r="E8" s="3">
        <v>234712.95974730002</v>
      </c>
      <c r="H8">
        <f>IF($H$2,$B$2:$B$13,$F$2:$F$13)</f>
        <v>510118.95270869997</v>
      </c>
      <c r="I8">
        <f>IF($H$4,$B$2:$B$13,$F$2:$F$13)</f>
        <v>510118.95270869997</v>
      </c>
    </row>
    <row r="9" spans="1:15" x14ac:dyDescent="0.3">
      <c r="A9" s="4" t="s">
        <v>12</v>
      </c>
      <c r="B9" s="4">
        <v>220130.08582283329</v>
      </c>
      <c r="C9" s="5">
        <v>150589.96349085</v>
      </c>
      <c r="D9" s="5">
        <v>462951.10162859998</v>
      </c>
      <c r="E9" s="6">
        <v>193999.30782770261</v>
      </c>
    </row>
    <row r="10" spans="1:15" x14ac:dyDescent="0.3">
      <c r="A10" s="4" t="s">
        <v>13</v>
      </c>
      <c r="B10" s="4">
        <v>373503.19573377562</v>
      </c>
      <c r="C10" s="5">
        <v>408638.32068263076</v>
      </c>
      <c r="D10" s="5">
        <v>415767.62143544998</v>
      </c>
      <c r="E10" s="6">
        <v>336451.77412514988</v>
      </c>
    </row>
    <row r="11" spans="1:15" x14ac:dyDescent="0.3">
      <c r="A11" s="1" t="s">
        <v>14</v>
      </c>
      <c r="B11" s="1">
        <v>439424.08198979998</v>
      </c>
      <c r="C11" s="2">
        <v>305883.12260909996</v>
      </c>
      <c r="D11" s="2">
        <v>307138.75165805774</v>
      </c>
      <c r="E11" s="3">
        <v>278499.72181439993</v>
      </c>
    </row>
    <row r="12" spans="1:15" x14ac:dyDescent="0.3">
      <c r="A12" s="4" t="s">
        <v>15</v>
      </c>
      <c r="B12" s="4">
        <v>428661.55981269229</v>
      </c>
      <c r="C12" s="5">
        <v>194589.08705879995</v>
      </c>
      <c r="D12" s="5">
        <v>560053.1333725499</v>
      </c>
      <c r="E12" s="6">
        <v>786852.40998707409</v>
      </c>
    </row>
    <row r="13" spans="1:15" x14ac:dyDescent="0.3">
      <c r="A13" s="7" t="s">
        <v>16</v>
      </c>
      <c r="B13" s="7">
        <v>692964.70983135386</v>
      </c>
      <c r="C13" s="8">
        <v>111893.04873600001</v>
      </c>
      <c r="D13" s="8">
        <v>513013.92828901409</v>
      </c>
      <c r="E13" s="9">
        <v>1019700.9449005127</v>
      </c>
    </row>
    <row r="15" spans="1:15" x14ac:dyDescent="0.3">
      <c r="O15" t="s">
        <v>17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11</xdr:col>
                    <xdr:colOff>95250</xdr:colOff>
                    <xdr:row>18</xdr:row>
                    <xdr:rowOff>101600</xdr:rowOff>
                  </from>
                  <to>
                    <xdr:col>12</xdr:col>
                    <xdr:colOff>139700</xdr:colOff>
                    <xdr:row>20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11</xdr:col>
                    <xdr:colOff>95250</xdr:colOff>
                    <xdr:row>20</xdr:row>
                    <xdr:rowOff>50800</xdr:rowOff>
                  </from>
                  <to>
                    <xdr:col>11</xdr:col>
                    <xdr:colOff>400050</xdr:colOff>
                    <xdr:row>21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B431-EBC3-42AC-8A73-07BC521DEE74}">
  <sheetPr codeName="Sheet2"/>
  <dimension ref="A1:D18"/>
  <sheetViews>
    <sheetView tabSelected="1" workbookViewId="0">
      <selection activeCell="A18" sqref="A18:B18"/>
    </sheetView>
  </sheetViews>
  <sheetFormatPr defaultRowHeight="14" x14ac:dyDescent="0.3"/>
  <sheetData>
    <row r="1" spans="1:4" x14ac:dyDescent="0.3">
      <c r="A1" s="10" t="s">
        <v>18</v>
      </c>
      <c r="B1" s="10" t="s">
        <v>19</v>
      </c>
    </row>
    <row r="2" spans="1:4" x14ac:dyDescent="0.3">
      <c r="A2" s="11" t="s">
        <v>20</v>
      </c>
      <c r="B2" s="11">
        <v>23504352</v>
      </c>
    </row>
    <row r="3" spans="1:4" x14ac:dyDescent="0.3">
      <c r="A3" s="11" t="s">
        <v>21</v>
      </c>
      <c r="B3" s="11">
        <v>26170088</v>
      </c>
    </row>
    <row r="4" spans="1:4" x14ac:dyDescent="0.3">
      <c r="A4" s="11" t="s">
        <v>22</v>
      </c>
      <c r="B4" s="11">
        <v>22125894</v>
      </c>
    </row>
    <row r="5" spans="1:4" x14ac:dyDescent="0.3">
      <c r="A5" s="11" t="s">
        <v>23</v>
      </c>
      <c r="B5" s="11">
        <v>20837233</v>
      </c>
    </row>
    <row r="6" spans="1:4" x14ac:dyDescent="0.3">
      <c r="A6" s="11" t="s">
        <v>24</v>
      </c>
      <c r="B6" s="11">
        <v>17400793</v>
      </c>
    </row>
    <row r="7" spans="1:4" x14ac:dyDescent="0.3">
      <c r="A7" s="11" t="s">
        <v>25</v>
      </c>
      <c r="B7" s="11">
        <v>25551184</v>
      </c>
      <c r="D7">
        <f ca="1">OFFSET($B$1,COUNTA(B:B)-10,10,1)</f>
        <v>0</v>
      </c>
    </row>
    <row r="8" spans="1:4" x14ac:dyDescent="0.3">
      <c r="A8" s="11" t="s">
        <v>26</v>
      </c>
      <c r="B8" s="11">
        <v>15818192</v>
      </c>
    </row>
    <row r="9" spans="1:4" x14ac:dyDescent="0.3">
      <c r="A9" s="11" t="s">
        <v>27</v>
      </c>
      <c r="B9" s="11">
        <v>22487599</v>
      </c>
    </row>
    <row r="10" spans="1:4" x14ac:dyDescent="0.3">
      <c r="A10" s="11" t="s">
        <v>28</v>
      </c>
      <c r="B10" s="11">
        <v>23940857</v>
      </c>
    </row>
    <row r="11" spans="1:4" x14ac:dyDescent="0.3">
      <c r="A11" s="11" t="s">
        <v>29</v>
      </c>
      <c r="B11" s="11">
        <v>18424502</v>
      </c>
    </row>
    <row r="12" spans="1:4" x14ac:dyDescent="0.3">
      <c r="A12" s="11" t="s">
        <v>30</v>
      </c>
      <c r="B12" s="11">
        <v>16769286</v>
      </c>
    </row>
    <row r="13" spans="1:4" x14ac:dyDescent="0.3">
      <c r="A13" s="11" t="s">
        <v>31</v>
      </c>
      <c r="B13" s="11">
        <v>22173995</v>
      </c>
    </row>
    <row r="14" spans="1:4" x14ac:dyDescent="0.3">
      <c r="A14" s="11" t="s">
        <v>32</v>
      </c>
      <c r="B14" s="11">
        <v>21280295</v>
      </c>
    </row>
    <row r="15" spans="1:4" x14ac:dyDescent="0.3">
      <c r="A15" s="11" t="s">
        <v>33</v>
      </c>
      <c r="B15" s="11">
        <v>32943083</v>
      </c>
    </row>
    <row r="16" spans="1:4" x14ac:dyDescent="0.3">
      <c r="A16" s="11" t="s">
        <v>34</v>
      </c>
      <c r="B16" s="11">
        <v>22223575</v>
      </c>
    </row>
    <row r="17" spans="1:2" x14ac:dyDescent="0.3">
      <c r="A17" s="11" t="s">
        <v>35</v>
      </c>
      <c r="B17" s="11">
        <v>19918132</v>
      </c>
    </row>
    <row r="18" spans="1:2" x14ac:dyDescent="0.3">
      <c r="A18" s="11" t="s">
        <v>35</v>
      </c>
      <c r="B18" s="11">
        <v>19918132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CAFE-B41F-4608-8455-6A7E4091F8FA}">
  <sheetPr codeName="Sheet3"/>
  <dimension ref="A1:E100"/>
  <sheetViews>
    <sheetView topLeftCell="A7" workbookViewId="0">
      <selection activeCell="O21" sqref="O21"/>
    </sheetView>
  </sheetViews>
  <sheetFormatPr defaultRowHeight="14" x14ac:dyDescent="0.3"/>
  <cols>
    <col min="5" max="5" width="9.1640625" bestFit="1" customWidth="1"/>
  </cols>
  <sheetData>
    <row r="1" spans="1:5" x14ac:dyDescent="0.3">
      <c r="A1" s="10" t="s">
        <v>18</v>
      </c>
      <c r="B1" s="10" t="s">
        <v>19</v>
      </c>
    </row>
    <row r="2" spans="1:5" x14ac:dyDescent="0.3">
      <c r="A2" s="11" t="s">
        <v>20</v>
      </c>
      <c r="B2" s="11">
        <v>23504352</v>
      </c>
    </row>
    <row r="3" spans="1:5" x14ac:dyDescent="0.3">
      <c r="A3" s="11" t="s">
        <v>21</v>
      </c>
      <c r="B3" s="11">
        <v>26170088</v>
      </c>
      <c r="E3">
        <v>43</v>
      </c>
    </row>
    <row r="4" spans="1:5" x14ac:dyDescent="0.3">
      <c r="A4" s="11" t="s">
        <v>22</v>
      </c>
      <c r="B4" s="11">
        <v>22125894</v>
      </c>
    </row>
    <row r="5" spans="1:5" x14ac:dyDescent="0.3">
      <c r="A5" s="11" t="s">
        <v>23</v>
      </c>
      <c r="B5" s="11">
        <v>20837233</v>
      </c>
      <c r="E5">
        <v>20</v>
      </c>
    </row>
    <row r="6" spans="1:5" x14ac:dyDescent="0.3">
      <c r="A6" s="11" t="s">
        <v>24</v>
      </c>
      <c r="B6" s="11">
        <v>17400793</v>
      </c>
    </row>
    <row r="7" spans="1:5" x14ac:dyDescent="0.3">
      <c r="A7" s="11" t="s">
        <v>25</v>
      </c>
      <c r="B7" s="11">
        <v>25551184</v>
      </c>
    </row>
    <row r="8" spans="1:5" x14ac:dyDescent="0.3">
      <c r="A8" s="11" t="s">
        <v>26</v>
      </c>
      <c r="B8" s="11">
        <v>15818192</v>
      </c>
    </row>
    <row r="9" spans="1:5" x14ac:dyDescent="0.3">
      <c r="A9" s="11" t="s">
        <v>27</v>
      </c>
      <c r="B9" s="11">
        <v>22487599</v>
      </c>
      <c r="E9" t="e">
        <f ca="1">OFFSET($B$1,$E$3,0,$E$5,1)</f>
        <v>#VALUE!</v>
      </c>
    </row>
    <row r="10" spans="1:5" x14ac:dyDescent="0.3">
      <c r="A10" s="11" t="s">
        <v>28</v>
      </c>
      <c r="B10" s="11">
        <v>23940857</v>
      </c>
    </row>
    <row r="11" spans="1:5" x14ac:dyDescent="0.3">
      <c r="A11" s="11" t="s">
        <v>29</v>
      </c>
      <c r="B11" s="11">
        <v>18424502</v>
      </c>
    </row>
    <row r="12" spans="1:5" x14ac:dyDescent="0.3">
      <c r="A12" s="11" t="s">
        <v>30</v>
      </c>
      <c r="B12" s="11">
        <v>16769286</v>
      </c>
    </row>
    <row r="13" spans="1:5" x14ac:dyDescent="0.3">
      <c r="A13" s="11" t="s">
        <v>31</v>
      </c>
      <c r="B13" s="11">
        <v>22173995</v>
      </c>
    </row>
    <row r="14" spans="1:5" x14ac:dyDescent="0.3">
      <c r="A14" s="11" t="s">
        <v>32</v>
      </c>
      <c r="B14" s="11">
        <v>21280295</v>
      </c>
    </row>
    <row r="15" spans="1:5" x14ac:dyDescent="0.3">
      <c r="A15" s="11" t="s">
        <v>33</v>
      </c>
      <c r="B15" s="11">
        <v>32943083</v>
      </c>
    </row>
    <row r="16" spans="1:5" x14ac:dyDescent="0.3">
      <c r="A16" s="11" t="s">
        <v>34</v>
      </c>
      <c r="B16" s="11">
        <v>22223575</v>
      </c>
    </row>
    <row r="17" spans="1:2" x14ac:dyDescent="0.3">
      <c r="A17" s="11" t="s">
        <v>35</v>
      </c>
      <c r="B17" s="11">
        <v>19918132</v>
      </c>
    </row>
    <row r="18" spans="1:2" x14ac:dyDescent="0.3">
      <c r="A18" s="11" t="s">
        <v>36</v>
      </c>
      <c r="B18" s="11">
        <v>26629082</v>
      </c>
    </row>
    <row r="19" spans="1:2" x14ac:dyDescent="0.3">
      <c r="A19" s="11" t="s">
        <v>37</v>
      </c>
      <c r="B19" s="11">
        <v>28122105</v>
      </c>
    </row>
    <row r="20" spans="1:2" x14ac:dyDescent="0.3">
      <c r="A20" s="11" t="s">
        <v>38</v>
      </c>
      <c r="B20" s="11">
        <v>50889423</v>
      </c>
    </row>
    <row r="21" spans="1:2" x14ac:dyDescent="0.3">
      <c r="A21" s="11" t="s">
        <v>39</v>
      </c>
      <c r="B21" s="11">
        <v>35705586</v>
      </c>
    </row>
    <row r="22" spans="1:2" x14ac:dyDescent="0.3">
      <c r="A22" s="11" t="s">
        <v>40</v>
      </c>
      <c r="B22" s="11">
        <v>25488876</v>
      </c>
    </row>
    <row r="23" spans="1:2" x14ac:dyDescent="0.3">
      <c r="A23" s="11" t="s">
        <v>41</v>
      </c>
      <c r="B23" s="11">
        <v>32961946</v>
      </c>
    </row>
    <row r="24" spans="1:2" x14ac:dyDescent="0.3">
      <c r="A24" s="11" t="s">
        <v>42</v>
      </c>
      <c r="B24" s="11">
        <v>35276836</v>
      </c>
    </row>
    <row r="25" spans="1:2" x14ac:dyDescent="0.3">
      <c r="A25" s="11" t="s">
        <v>43</v>
      </c>
      <c r="B25" s="11">
        <v>22885931</v>
      </c>
    </row>
    <row r="26" spans="1:2" x14ac:dyDescent="0.3">
      <c r="A26" s="11" t="s">
        <v>44</v>
      </c>
      <c r="B26" s="11">
        <v>23214839</v>
      </c>
    </row>
    <row r="27" spans="1:2" x14ac:dyDescent="0.3">
      <c r="A27" s="11" t="s">
        <v>45</v>
      </c>
      <c r="B27" s="11">
        <v>22822883</v>
      </c>
    </row>
    <row r="28" spans="1:2" x14ac:dyDescent="0.3">
      <c r="A28" s="11" t="s">
        <v>46</v>
      </c>
      <c r="B28" s="11">
        <v>20194184</v>
      </c>
    </row>
    <row r="29" spans="1:2" x14ac:dyDescent="0.3">
      <c r="A29" s="11" t="s">
        <v>47</v>
      </c>
      <c r="B29" s="11">
        <v>29217135</v>
      </c>
    </row>
    <row r="30" spans="1:2" x14ac:dyDescent="0.3">
      <c r="A30" s="11" t="s">
        <v>48</v>
      </c>
      <c r="B30" s="11">
        <v>35345006</v>
      </c>
    </row>
    <row r="31" spans="1:2" x14ac:dyDescent="0.3">
      <c r="A31" s="11" t="s">
        <v>49</v>
      </c>
      <c r="B31" s="11">
        <v>29665178</v>
      </c>
    </row>
    <row r="32" spans="1:2" x14ac:dyDescent="0.3">
      <c r="A32" s="11" t="s">
        <v>50</v>
      </c>
      <c r="B32" s="11">
        <v>42172602</v>
      </c>
    </row>
    <row r="33" spans="1:2" x14ac:dyDescent="0.3">
      <c r="A33" s="11" t="s">
        <v>51</v>
      </c>
      <c r="B33" s="11">
        <v>49135174</v>
      </c>
    </row>
    <row r="34" spans="1:2" x14ac:dyDescent="0.3">
      <c r="A34" s="11" t="s">
        <v>52</v>
      </c>
      <c r="B34" s="11">
        <v>35293836</v>
      </c>
    </row>
    <row r="35" spans="1:2" x14ac:dyDescent="0.3">
      <c r="A35" s="11" t="s">
        <v>53</v>
      </c>
      <c r="B35" s="11">
        <v>28607594</v>
      </c>
    </row>
    <row r="36" spans="1:2" x14ac:dyDescent="0.3">
      <c r="A36" s="11" t="s">
        <v>54</v>
      </c>
      <c r="B36" s="11">
        <v>37171143</v>
      </c>
    </row>
    <row r="37" spans="1:2" x14ac:dyDescent="0.3">
      <c r="A37" s="11" t="s">
        <v>55</v>
      </c>
      <c r="B37" s="11">
        <v>37450598</v>
      </c>
    </row>
    <row r="38" spans="1:2" x14ac:dyDescent="0.3">
      <c r="A38" s="11" t="s">
        <v>56</v>
      </c>
      <c r="B38" s="11">
        <v>38850850</v>
      </c>
    </row>
    <row r="39" spans="1:2" x14ac:dyDescent="0.3">
      <c r="A39" s="11" t="s">
        <v>57</v>
      </c>
      <c r="B39" s="11">
        <v>28116984</v>
      </c>
    </row>
    <row r="40" spans="1:2" x14ac:dyDescent="0.3">
      <c r="A40" s="11" t="s">
        <v>58</v>
      </c>
      <c r="B40" s="11">
        <v>17513926</v>
      </c>
    </row>
    <row r="41" spans="1:2" x14ac:dyDescent="0.3">
      <c r="A41" s="11" t="s">
        <v>59</v>
      </c>
      <c r="B41" s="11">
        <v>19908988</v>
      </c>
    </row>
    <row r="42" spans="1:2" x14ac:dyDescent="0.3">
      <c r="A42" s="11" t="s">
        <v>60</v>
      </c>
      <c r="B42" s="11">
        <v>27238656</v>
      </c>
    </row>
    <row r="43" spans="1:2" x14ac:dyDescent="0.3">
      <c r="A43" s="11" t="s">
        <v>61</v>
      </c>
      <c r="B43" s="11">
        <v>51905083</v>
      </c>
    </row>
    <row r="44" spans="1:2" x14ac:dyDescent="0.3">
      <c r="A44" s="11" t="s">
        <v>62</v>
      </c>
      <c r="B44" s="11">
        <v>40171146</v>
      </c>
    </row>
    <row r="45" spans="1:2" x14ac:dyDescent="0.3">
      <c r="A45" s="11" t="s">
        <v>63</v>
      </c>
      <c r="B45" s="11">
        <v>16733808</v>
      </c>
    </row>
    <row r="46" spans="1:2" x14ac:dyDescent="0.3">
      <c r="A46" s="11" t="s">
        <v>64</v>
      </c>
      <c r="B46" s="11">
        <v>16164196</v>
      </c>
    </row>
    <row r="47" spans="1:2" x14ac:dyDescent="0.3">
      <c r="A47" s="11" t="s">
        <v>65</v>
      </c>
      <c r="B47" s="11">
        <v>14591761</v>
      </c>
    </row>
    <row r="48" spans="1:2" x14ac:dyDescent="0.3">
      <c r="A48" s="11" t="s">
        <v>66</v>
      </c>
      <c r="B48" s="11">
        <v>10915882</v>
      </c>
    </row>
    <row r="49" spans="1:2" x14ac:dyDescent="0.3">
      <c r="A49" s="11" t="s">
        <v>67</v>
      </c>
      <c r="B49" s="11">
        <v>13027003</v>
      </c>
    </row>
    <row r="50" spans="1:2" x14ac:dyDescent="0.3">
      <c r="A50" s="11" t="s">
        <v>68</v>
      </c>
      <c r="B50" s="11">
        <v>13538672</v>
      </c>
    </row>
    <row r="51" spans="1:2" x14ac:dyDescent="0.3">
      <c r="A51" s="11" t="s">
        <v>69</v>
      </c>
      <c r="B51" s="11">
        <v>22428437</v>
      </c>
    </row>
    <row r="52" spans="1:2" x14ac:dyDescent="0.3">
      <c r="A52" s="11" t="s">
        <v>70</v>
      </c>
      <c r="B52" s="11">
        <v>25443200</v>
      </c>
    </row>
    <row r="53" spans="1:2" x14ac:dyDescent="0.3">
      <c r="A53" s="11" t="s">
        <v>71</v>
      </c>
      <c r="B53" s="11">
        <v>38947514</v>
      </c>
    </row>
    <row r="54" spans="1:2" x14ac:dyDescent="0.3">
      <c r="A54" s="11" t="s">
        <v>72</v>
      </c>
      <c r="B54" s="11">
        <v>33259504</v>
      </c>
    </row>
    <row r="55" spans="1:2" x14ac:dyDescent="0.3">
      <c r="A55" s="11" t="s">
        <v>73</v>
      </c>
      <c r="B55" s="11">
        <v>23479344</v>
      </c>
    </row>
    <row r="56" spans="1:2" x14ac:dyDescent="0.3">
      <c r="A56" s="11" t="s">
        <v>74</v>
      </c>
      <c r="B56" s="11">
        <v>23813051</v>
      </c>
    </row>
    <row r="57" spans="1:2" x14ac:dyDescent="0.3">
      <c r="A57" s="11" t="s">
        <v>75</v>
      </c>
      <c r="B57" s="11">
        <v>18028659</v>
      </c>
    </row>
    <row r="58" spans="1:2" x14ac:dyDescent="0.3">
      <c r="A58" s="11" t="s">
        <v>76</v>
      </c>
      <c r="B58" s="11">
        <v>54548408</v>
      </c>
    </row>
    <row r="59" spans="1:2" x14ac:dyDescent="0.3">
      <c r="A59" s="11" t="s">
        <v>77</v>
      </c>
      <c r="B59" s="11">
        <v>33933759</v>
      </c>
    </row>
    <row r="60" spans="1:2" x14ac:dyDescent="0.3">
      <c r="A60" s="11" t="s">
        <v>78</v>
      </c>
      <c r="B60" s="11">
        <v>12381372</v>
      </c>
    </row>
    <row r="61" spans="1:2" x14ac:dyDescent="0.3">
      <c r="A61" s="11" t="s">
        <v>79</v>
      </c>
      <c r="B61" s="11">
        <v>30502367</v>
      </c>
    </row>
    <row r="62" spans="1:2" x14ac:dyDescent="0.3">
      <c r="A62" s="11" t="s">
        <v>80</v>
      </c>
      <c r="B62" s="11">
        <v>18958375</v>
      </c>
    </row>
    <row r="63" spans="1:2" x14ac:dyDescent="0.3">
      <c r="A63" s="11" t="s">
        <v>81</v>
      </c>
      <c r="B63" s="11">
        <v>11112101</v>
      </c>
    </row>
    <row r="64" spans="1:2" x14ac:dyDescent="0.3">
      <c r="A64" s="11" t="s">
        <v>82</v>
      </c>
      <c r="B64" s="11">
        <v>22463611</v>
      </c>
    </row>
    <row r="65" spans="1:2" x14ac:dyDescent="0.3">
      <c r="A65" s="11" t="s">
        <v>83</v>
      </c>
      <c r="B65" s="11">
        <v>20424123</v>
      </c>
    </row>
    <row r="66" spans="1:2" x14ac:dyDescent="0.3">
      <c r="A66" s="11" t="s">
        <v>84</v>
      </c>
      <c r="B66" s="11">
        <v>15951567</v>
      </c>
    </row>
    <row r="67" spans="1:2" x14ac:dyDescent="0.3">
      <c r="A67" s="11" t="s">
        <v>85</v>
      </c>
      <c r="B67" s="11">
        <v>52066922</v>
      </c>
    </row>
    <row r="68" spans="1:2" x14ac:dyDescent="0.3">
      <c r="A68" s="11" t="s">
        <v>86</v>
      </c>
      <c r="B68" s="11">
        <v>23330989</v>
      </c>
    </row>
    <row r="69" spans="1:2" x14ac:dyDescent="0.3">
      <c r="A69" s="11" t="s">
        <v>87</v>
      </c>
      <c r="B69" s="11">
        <v>44885888</v>
      </c>
    </row>
    <row r="70" spans="1:2" x14ac:dyDescent="0.3">
      <c r="A70" s="11" t="s">
        <v>88</v>
      </c>
      <c r="B70" s="11">
        <v>35092814</v>
      </c>
    </row>
    <row r="71" spans="1:2" x14ac:dyDescent="0.3">
      <c r="A71" s="11" t="s">
        <v>89</v>
      </c>
      <c r="B71" s="11">
        <v>26949283</v>
      </c>
    </row>
    <row r="72" spans="1:2" x14ac:dyDescent="0.3">
      <c r="A72" s="11" t="s">
        <v>90</v>
      </c>
      <c r="B72" s="11">
        <v>21400020</v>
      </c>
    </row>
    <row r="73" spans="1:2" x14ac:dyDescent="0.3">
      <c r="A73" s="11" t="s">
        <v>91</v>
      </c>
      <c r="B73" s="11">
        <v>14578229</v>
      </c>
    </row>
    <row r="74" spans="1:2" x14ac:dyDescent="0.3">
      <c r="A74" s="11" t="s">
        <v>92</v>
      </c>
      <c r="B74" s="11">
        <v>28743262</v>
      </c>
    </row>
    <row r="75" spans="1:2" x14ac:dyDescent="0.3">
      <c r="A75" s="11" t="s">
        <v>93</v>
      </c>
      <c r="B75" s="11">
        <v>44359405</v>
      </c>
    </row>
    <row r="76" spans="1:2" x14ac:dyDescent="0.3">
      <c r="A76" s="11" t="s">
        <v>94</v>
      </c>
      <c r="B76" s="11">
        <v>15177231</v>
      </c>
    </row>
    <row r="77" spans="1:2" x14ac:dyDescent="0.3">
      <c r="A77" s="11" t="s">
        <v>95</v>
      </c>
      <c r="B77" s="11">
        <v>21770870</v>
      </c>
    </row>
    <row r="78" spans="1:2" x14ac:dyDescent="0.3">
      <c r="A78" s="11" t="s">
        <v>96</v>
      </c>
      <c r="B78" s="11">
        <v>21533912</v>
      </c>
    </row>
    <row r="79" spans="1:2" x14ac:dyDescent="0.3">
      <c r="A79" s="11" t="s">
        <v>97</v>
      </c>
      <c r="B79" s="11">
        <v>15760425</v>
      </c>
    </row>
    <row r="80" spans="1:2" x14ac:dyDescent="0.3">
      <c r="A80" s="11" t="s">
        <v>98</v>
      </c>
      <c r="B80" s="11">
        <v>22958503</v>
      </c>
    </row>
    <row r="81" spans="1:2" x14ac:dyDescent="0.3">
      <c r="A81" s="11" t="s">
        <v>99</v>
      </c>
      <c r="B81" s="11">
        <v>18005075</v>
      </c>
    </row>
    <row r="82" spans="1:2" x14ac:dyDescent="0.3">
      <c r="A82" s="11" t="s">
        <v>100</v>
      </c>
      <c r="B82" s="11">
        <v>14271056</v>
      </c>
    </row>
    <row r="83" spans="1:2" x14ac:dyDescent="0.3">
      <c r="A83" s="11" t="s">
        <v>101</v>
      </c>
      <c r="B83" s="11">
        <v>26017270</v>
      </c>
    </row>
    <row r="84" spans="1:2" x14ac:dyDescent="0.3">
      <c r="A84" s="11" t="s">
        <v>102</v>
      </c>
      <c r="B84" s="11">
        <v>25163640</v>
      </c>
    </row>
    <row r="85" spans="1:2" x14ac:dyDescent="0.3">
      <c r="A85" s="11" t="s">
        <v>103</v>
      </c>
      <c r="B85" s="11">
        <v>17199263</v>
      </c>
    </row>
    <row r="86" spans="1:2" x14ac:dyDescent="0.3">
      <c r="A86" s="11" t="s">
        <v>104</v>
      </c>
      <c r="B86" s="11">
        <v>15622050</v>
      </c>
    </row>
    <row r="87" spans="1:2" x14ac:dyDescent="0.3">
      <c r="A87" s="11" t="s">
        <v>105</v>
      </c>
      <c r="B87" s="11">
        <v>15457989</v>
      </c>
    </row>
    <row r="88" spans="1:2" x14ac:dyDescent="0.3">
      <c r="A88" s="11" t="s">
        <v>106</v>
      </c>
      <c r="B88" s="11">
        <v>17107981</v>
      </c>
    </row>
    <row r="89" spans="1:2" x14ac:dyDescent="0.3">
      <c r="A89" s="11" t="s">
        <v>107</v>
      </c>
      <c r="B89" s="11">
        <v>24383468</v>
      </c>
    </row>
    <row r="90" spans="1:2" x14ac:dyDescent="0.3">
      <c r="A90" s="11" t="s">
        <v>108</v>
      </c>
      <c r="B90" s="11">
        <v>26114851</v>
      </c>
    </row>
    <row r="91" spans="1:2" x14ac:dyDescent="0.3">
      <c r="A91" s="11" t="s">
        <v>109</v>
      </c>
      <c r="B91" s="11">
        <v>21106449</v>
      </c>
    </row>
    <row r="92" spans="1:2" x14ac:dyDescent="0.3">
      <c r="A92" s="11" t="s">
        <v>110</v>
      </c>
      <c r="B92" s="11">
        <v>30839757</v>
      </c>
    </row>
    <row r="93" spans="1:2" x14ac:dyDescent="0.3">
      <c r="A93" s="11" t="s">
        <v>111</v>
      </c>
      <c r="B93" s="11">
        <v>20434018</v>
      </c>
    </row>
    <row r="94" spans="1:2" x14ac:dyDescent="0.3">
      <c r="A94" s="11" t="s">
        <v>112</v>
      </c>
      <c r="B94" s="11">
        <v>27323654</v>
      </c>
    </row>
    <row r="95" spans="1:2" x14ac:dyDescent="0.3">
      <c r="A95" s="11" t="s">
        <v>113</v>
      </c>
      <c r="B95" s="11">
        <v>23952562</v>
      </c>
    </row>
    <row r="96" spans="1:2" x14ac:dyDescent="0.3">
      <c r="A96" s="11" t="s">
        <v>114</v>
      </c>
      <c r="B96" s="11">
        <v>36034578</v>
      </c>
    </row>
    <row r="97" spans="1:2" x14ac:dyDescent="0.3">
      <c r="A97" s="11" t="s">
        <v>115</v>
      </c>
      <c r="B97" s="11">
        <v>38233396</v>
      </c>
    </row>
    <row r="98" spans="1:2" x14ac:dyDescent="0.3">
      <c r="A98" s="11" t="s">
        <v>116</v>
      </c>
      <c r="B98" s="11">
        <v>33396821</v>
      </c>
    </row>
    <row r="99" spans="1:2" x14ac:dyDescent="0.3">
      <c r="A99" s="11" t="s">
        <v>117</v>
      </c>
      <c r="B99" s="11">
        <v>49209778</v>
      </c>
    </row>
    <row r="100" spans="1:2" x14ac:dyDescent="0.3">
      <c r="A100" s="11" t="s">
        <v>118</v>
      </c>
      <c r="B100" s="11">
        <v>50266225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croll Bar 1">
              <controlPr defaultSize="0" autoPict="0">
                <anchor moveWithCells="1">
                  <from>
                    <xdr:col>5</xdr:col>
                    <xdr:colOff>361950</xdr:colOff>
                    <xdr:row>1</xdr:row>
                    <xdr:rowOff>171450</xdr:rowOff>
                  </from>
                  <to>
                    <xdr:col>7</xdr:col>
                    <xdr:colOff>647700</xdr:colOff>
                    <xdr:row>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croll Bar 2">
              <controlPr defaultSize="0" autoPict="0">
                <anchor moveWithCells="1">
                  <from>
                    <xdr:col>5</xdr:col>
                    <xdr:colOff>355600</xdr:colOff>
                    <xdr:row>3</xdr:row>
                    <xdr:rowOff>120650</xdr:rowOff>
                  </from>
                  <to>
                    <xdr:col>8</xdr:col>
                    <xdr:colOff>0</xdr:colOff>
                    <xdr:row>4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</dc:creator>
  <cp:lastModifiedBy>燕飞 白</cp:lastModifiedBy>
  <dcterms:created xsi:type="dcterms:W3CDTF">2015-06-05T18:19:34Z</dcterms:created>
  <dcterms:modified xsi:type="dcterms:W3CDTF">2025-10-10T09:17:36Z</dcterms:modified>
</cp:coreProperties>
</file>