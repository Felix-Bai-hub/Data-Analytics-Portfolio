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2.xml" ContentType="application/vnd.ms-excel.controlproperties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22讲-制作甘特图与动态甘特图\"/>
    </mc:Choice>
  </mc:AlternateContent>
  <xr:revisionPtr revIDLastSave="0" documentId="13_ncr:1_{C3BFD147-31E6-41A0-B601-007A308D4C78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EXCEL课件" sheetId="1" r:id="rId1"/>
    <sheet name="图表1" sheetId="21" r:id="rId2"/>
    <sheet name="图表2" sheetId="23" r:id="rId3"/>
    <sheet name="图表3" sheetId="24" r:id="rId4"/>
    <sheet name="Sheet1" sheetId="25" r:id="rId5"/>
  </sheets>
  <calcPr calcId="191029"/>
</workbook>
</file>

<file path=xl/calcChain.xml><?xml version="1.0" encoding="utf-8"?>
<calcChain xmlns="http://schemas.openxmlformats.org/spreadsheetml/2006/main">
  <c r="B14" i="25" l="1"/>
  <c r="B12" i="25" s="1"/>
  <c r="E5" i="25" s="1"/>
  <c r="F5" i="25" s="1"/>
  <c r="C15" i="25"/>
  <c r="B12" i="23"/>
  <c r="C11" i="24"/>
  <c r="E3" i="24" s="1"/>
  <c r="F3" i="24" s="1"/>
  <c r="E9" i="25" l="1"/>
  <c r="F9" i="25" s="1"/>
  <c r="E8" i="25"/>
  <c r="F8" i="25" s="1"/>
  <c r="E4" i="25"/>
  <c r="F4" i="25" s="1"/>
  <c r="E6" i="25"/>
  <c r="F6" i="25" s="1"/>
  <c r="E3" i="25"/>
  <c r="F3" i="25" s="1"/>
  <c r="E2" i="25"/>
  <c r="F2" i="25" s="1"/>
  <c r="E7" i="25"/>
  <c r="F7" i="25" s="1"/>
  <c r="E2" i="24"/>
  <c r="F2" i="24" s="1"/>
  <c r="E6" i="24"/>
  <c r="F6" i="24" s="1"/>
  <c r="E9" i="24"/>
  <c r="F9" i="24" s="1"/>
  <c r="E5" i="24"/>
  <c r="F5" i="24" s="1"/>
  <c r="E8" i="24"/>
  <c r="F8" i="24" s="1"/>
  <c r="E4" i="24"/>
  <c r="F4" i="24" s="1"/>
  <c r="E7" i="24"/>
  <c r="F7" i="24" s="1"/>
  <c r="C7" i="21"/>
  <c r="C6" i="21"/>
  <c r="C5" i="21"/>
  <c r="C4" i="21"/>
  <c r="C3" i="21"/>
  <c r="C2" i="21"/>
</calcChain>
</file>

<file path=xl/sharedStrings.xml><?xml version="1.0" encoding="utf-8"?>
<sst xmlns="http://schemas.openxmlformats.org/spreadsheetml/2006/main" count="53" uniqueCount="30">
  <si>
    <t>一、</t>
    <phoneticPr fontId="1" type="noConversion"/>
  </si>
  <si>
    <t>二、</t>
    <phoneticPr fontId="1" type="noConversion"/>
  </si>
  <si>
    <t>出口</t>
    <phoneticPr fontId="8" type="noConversion"/>
  </si>
  <si>
    <t>内销</t>
    <phoneticPr fontId="8" type="noConversion"/>
  </si>
  <si>
    <t>2011年</t>
    <phoneticPr fontId="8" type="noConversion"/>
  </si>
  <si>
    <t>2010年</t>
    <phoneticPr fontId="8" type="noConversion"/>
  </si>
  <si>
    <t>2009年</t>
    <phoneticPr fontId="8" type="noConversion"/>
  </si>
  <si>
    <t>2008年</t>
    <phoneticPr fontId="8" type="noConversion"/>
  </si>
  <si>
    <t>2007年</t>
    <phoneticPr fontId="8" type="noConversion"/>
  </si>
  <si>
    <t>2006年</t>
    <phoneticPr fontId="8" type="noConversion"/>
  </si>
  <si>
    <t>制作双向条形图</t>
    <phoneticPr fontId="1" type="noConversion"/>
  </si>
  <si>
    <t>1、设置主次坐标轴</t>
    <phoneticPr fontId="1" type="noConversion"/>
  </si>
  <si>
    <t>2、设置条形图方向</t>
    <phoneticPr fontId="1" type="noConversion"/>
  </si>
  <si>
    <t>3、设置图表背景</t>
    <phoneticPr fontId="1" type="noConversion"/>
  </si>
  <si>
    <t>制作甘特图</t>
    <phoneticPr fontId="1" type="noConversion"/>
  </si>
  <si>
    <t>计划开始日</t>
    <phoneticPr fontId="9" type="noConversion"/>
  </si>
  <si>
    <t>天数</t>
    <phoneticPr fontId="9" type="noConversion"/>
  </si>
  <si>
    <t>项目确定</t>
    <phoneticPr fontId="9" type="noConversion"/>
  </si>
  <si>
    <t>问卷设计</t>
    <phoneticPr fontId="9" type="noConversion"/>
  </si>
  <si>
    <t>试访</t>
    <phoneticPr fontId="9" type="noConversion"/>
  </si>
  <si>
    <t>问卷确定</t>
    <phoneticPr fontId="9" type="noConversion"/>
  </si>
  <si>
    <t>实地执行</t>
    <phoneticPr fontId="9" type="noConversion"/>
  </si>
  <si>
    <t>数据录入</t>
    <phoneticPr fontId="9" type="noConversion"/>
  </si>
  <si>
    <t>数据分析</t>
    <phoneticPr fontId="9" type="noConversion"/>
  </si>
  <si>
    <t>报告提交</t>
    <phoneticPr fontId="9" type="noConversion"/>
  </si>
  <si>
    <t>已完成</t>
    <phoneticPr fontId="9" type="noConversion"/>
  </si>
  <si>
    <t>未完成</t>
    <phoneticPr fontId="9" type="noConversion"/>
  </si>
  <si>
    <t>执行日期</t>
    <phoneticPr fontId="9" type="noConversion"/>
  </si>
  <si>
    <t>1、制作普通甘特图</t>
    <phoneticPr fontId="1" type="noConversion"/>
  </si>
  <si>
    <t>2、制作动态甘特图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</si>
</sst>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3" applyAlignment="1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>
      <alignment horizontal="right"/>
    </xf>
    <xf numFmtId="9" fontId="0" fillId="0" borderId="0" xfId="1" applyFont="1" applyAlignment="1"/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1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4" fontId="12" fillId="2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0" fillId="0" borderId="0" xfId="0" applyNumberFormat="1"/>
  </cellXfs>
  <cellStyles count="4">
    <cellStyle name="百分比" xfId="1" builtinId="5"/>
    <cellStyle name="常规" xfId="0" builtinId="0"/>
    <cellStyle name="常规 2" xfId="2" xr:uid="{00000000-0005-0000-0000-000002000000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历年出口与内销对比图</a:t>
            </a:r>
          </a:p>
        </c:rich>
      </c:tx>
      <c:layout>
        <c:manualLayout>
          <c:xMode val="edge"/>
          <c:yMode val="edge"/>
          <c:x val="2.1568671550199755E-2"/>
          <c:y val="2.24403894025997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57456653186627"/>
          <c:y val="0.25210308469266651"/>
          <c:w val="0.83816146667395675"/>
          <c:h val="0.66750656136145814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图表1!$C$1</c:f>
              <c:strCache>
                <c:ptCount val="1"/>
                <c:pt idx="0">
                  <c:v>内销</c:v>
                </c:pt>
              </c:strCache>
            </c:strRef>
          </c:tx>
          <c:spPr>
            <a:solidFill>
              <a:srgbClr val="C00000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图表1!$A$2:$A$7</c:f>
              <c:strCache>
                <c:ptCount val="6"/>
                <c:pt idx="0">
                  <c:v>2011年</c:v>
                </c:pt>
                <c:pt idx="1">
                  <c:v>2010年</c:v>
                </c:pt>
                <c:pt idx="2">
                  <c:v>2009年</c:v>
                </c:pt>
                <c:pt idx="3">
                  <c:v>2008年</c:v>
                </c:pt>
                <c:pt idx="4">
                  <c:v>2007年</c:v>
                </c:pt>
                <c:pt idx="5">
                  <c:v>2006年</c:v>
                </c:pt>
              </c:strCache>
            </c:strRef>
          </c:cat>
          <c:val>
            <c:numRef>
              <c:f>图表1!$C$2:$C$7</c:f>
              <c:numCache>
                <c:formatCode>0%</c:formatCode>
                <c:ptCount val="6"/>
                <c:pt idx="0">
                  <c:v>0.67999999999999994</c:v>
                </c:pt>
                <c:pt idx="1">
                  <c:v>0.44999999999999996</c:v>
                </c:pt>
                <c:pt idx="2">
                  <c:v>0.4</c:v>
                </c:pt>
                <c:pt idx="3">
                  <c:v>0.27</c:v>
                </c:pt>
                <c:pt idx="4">
                  <c:v>0.18000000000000005</c:v>
                </c:pt>
                <c:pt idx="5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4-4AFB-8590-9898AB673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121434880"/>
        <c:axId val="121436416"/>
      </c:barChart>
      <c:barChart>
        <c:barDir val="bar"/>
        <c:grouping val="clustered"/>
        <c:varyColors val="0"/>
        <c:ser>
          <c:idx val="0"/>
          <c:order val="0"/>
          <c:tx>
            <c:strRef>
              <c:f>图表1!$B$1</c:f>
              <c:strCache>
                <c:ptCount val="1"/>
                <c:pt idx="0">
                  <c:v>出口</c:v>
                </c:pt>
              </c:strCache>
            </c:strRef>
          </c:tx>
          <c:spPr>
            <a:solidFill>
              <a:srgbClr val="00B050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图表1!$A$2:$A$7</c:f>
              <c:strCache>
                <c:ptCount val="6"/>
                <c:pt idx="0">
                  <c:v>2011年</c:v>
                </c:pt>
                <c:pt idx="1">
                  <c:v>2010年</c:v>
                </c:pt>
                <c:pt idx="2">
                  <c:v>2009年</c:v>
                </c:pt>
                <c:pt idx="3">
                  <c:v>2008年</c:v>
                </c:pt>
                <c:pt idx="4">
                  <c:v>2007年</c:v>
                </c:pt>
                <c:pt idx="5">
                  <c:v>2006年</c:v>
                </c:pt>
              </c:strCache>
            </c:strRef>
          </c:cat>
          <c:val>
            <c:numRef>
              <c:f>图表1!$B$2:$B$7</c:f>
              <c:numCache>
                <c:formatCode>0%</c:formatCode>
                <c:ptCount val="6"/>
                <c:pt idx="0">
                  <c:v>0.32</c:v>
                </c:pt>
                <c:pt idx="1">
                  <c:v>0.55000000000000004</c:v>
                </c:pt>
                <c:pt idx="2">
                  <c:v>0.6</c:v>
                </c:pt>
                <c:pt idx="3">
                  <c:v>0.73</c:v>
                </c:pt>
                <c:pt idx="4">
                  <c:v>0.82</c:v>
                </c:pt>
                <c:pt idx="5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4-4AFB-8590-9898AB673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121320960"/>
        <c:axId val="121319424"/>
      </c:barChart>
      <c:catAx>
        <c:axId val="1214348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low"/>
        <c:spPr>
          <a:ln w="25400"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121436416"/>
        <c:crossesAt val="0"/>
        <c:auto val="1"/>
        <c:lblAlgn val="ctr"/>
        <c:lblOffset val="100"/>
        <c:noMultiLvlLbl val="0"/>
      </c:catAx>
      <c:valAx>
        <c:axId val="121436416"/>
        <c:scaling>
          <c:orientation val="maxMin"/>
          <c:max val="1"/>
          <c:min val="-1"/>
        </c:scaling>
        <c:delete val="0"/>
        <c:axPos val="b"/>
        <c:numFmt formatCode="0%;0%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1434880"/>
        <c:crosses val="autoZero"/>
        <c:crossBetween val="between"/>
        <c:majorUnit val="0.25"/>
      </c:valAx>
      <c:valAx>
        <c:axId val="121319424"/>
        <c:scaling>
          <c:orientation val="minMax"/>
          <c:max val="1"/>
          <c:min val="-1"/>
        </c:scaling>
        <c:delete val="1"/>
        <c:axPos val="t"/>
        <c:numFmt formatCode="0%" sourceLinked="1"/>
        <c:majorTickMark val="out"/>
        <c:minorTickMark val="none"/>
        <c:tickLblPos val="nextTo"/>
        <c:crossAx val="121320960"/>
        <c:crosses val="max"/>
        <c:crossBetween val="between"/>
      </c:valAx>
      <c:catAx>
        <c:axId val="1213209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1319424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t"/>
      <c:layout>
        <c:manualLayout>
          <c:xMode val="edge"/>
          <c:yMode val="edge"/>
          <c:x val="1.4939658821256497E-2"/>
          <c:y val="0.13987842727620498"/>
          <c:w val="0.19200739502795369"/>
          <c:h val="7.2985232906492753E-2"/>
        </c:manualLayout>
      </c:layout>
      <c:overlay val="0"/>
      <c:txPr>
        <a:bodyPr/>
        <a:lstStyle/>
        <a:p>
          <a:pPr>
            <a:defRPr sz="12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800" b="1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历年出口与内销对比图</a:t>
            </a:r>
            <a:endParaRPr lang="en-US" altLang="zh-CN" sz="180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>
        <c:manualLayout>
          <c:xMode val="edge"/>
          <c:yMode val="edge"/>
          <c:x val="1.7881985640913003E-2"/>
          <c:y val="6.500955435694544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图表1!$C$1</c:f>
              <c:strCache>
                <c:ptCount val="1"/>
                <c:pt idx="0">
                  <c:v>内销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图表1!$A$2:$A$7</c:f>
              <c:strCache>
                <c:ptCount val="6"/>
                <c:pt idx="0">
                  <c:v>2011年</c:v>
                </c:pt>
                <c:pt idx="1">
                  <c:v>2010年</c:v>
                </c:pt>
                <c:pt idx="2">
                  <c:v>2009年</c:v>
                </c:pt>
                <c:pt idx="3">
                  <c:v>2008年</c:v>
                </c:pt>
                <c:pt idx="4">
                  <c:v>2007年</c:v>
                </c:pt>
                <c:pt idx="5">
                  <c:v>2006年</c:v>
                </c:pt>
              </c:strCache>
            </c:strRef>
          </c:cat>
          <c:val>
            <c:numRef>
              <c:f>图表1!$C$2:$C$7</c:f>
              <c:numCache>
                <c:formatCode>0%</c:formatCode>
                <c:ptCount val="6"/>
                <c:pt idx="0">
                  <c:v>0.67999999999999994</c:v>
                </c:pt>
                <c:pt idx="1">
                  <c:v>0.44999999999999996</c:v>
                </c:pt>
                <c:pt idx="2">
                  <c:v>0.4</c:v>
                </c:pt>
                <c:pt idx="3">
                  <c:v>0.27</c:v>
                </c:pt>
                <c:pt idx="4">
                  <c:v>0.18000000000000005</c:v>
                </c:pt>
                <c:pt idx="5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B-4259-8CC1-6D5131E35A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9444223"/>
        <c:axId val="269463423"/>
      </c:barChart>
      <c:barChart>
        <c:barDir val="bar"/>
        <c:grouping val="clustered"/>
        <c:varyColors val="0"/>
        <c:ser>
          <c:idx val="0"/>
          <c:order val="0"/>
          <c:tx>
            <c:strRef>
              <c:f>图表1!$B$1</c:f>
              <c:strCache>
                <c:ptCount val="1"/>
                <c:pt idx="0">
                  <c:v>出口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图表1!$A$2:$A$7</c:f>
              <c:strCache>
                <c:ptCount val="6"/>
                <c:pt idx="0">
                  <c:v>2011年</c:v>
                </c:pt>
                <c:pt idx="1">
                  <c:v>2010年</c:v>
                </c:pt>
                <c:pt idx="2">
                  <c:v>2009年</c:v>
                </c:pt>
                <c:pt idx="3">
                  <c:v>2008年</c:v>
                </c:pt>
                <c:pt idx="4">
                  <c:v>2007年</c:v>
                </c:pt>
                <c:pt idx="5">
                  <c:v>2006年</c:v>
                </c:pt>
              </c:strCache>
            </c:strRef>
          </c:cat>
          <c:val>
            <c:numRef>
              <c:f>图表1!$B$2:$B$7</c:f>
              <c:numCache>
                <c:formatCode>0%</c:formatCode>
                <c:ptCount val="6"/>
                <c:pt idx="0">
                  <c:v>0.32</c:v>
                </c:pt>
                <c:pt idx="1">
                  <c:v>0.55000000000000004</c:v>
                </c:pt>
                <c:pt idx="2">
                  <c:v>0.6</c:v>
                </c:pt>
                <c:pt idx="3">
                  <c:v>0.73</c:v>
                </c:pt>
                <c:pt idx="4">
                  <c:v>0.82</c:v>
                </c:pt>
                <c:pt idx="5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B-4259-8CC1-6D5131E35A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69461503"/>
        <c:axId val="269457183"/>
      </c:barChart>
      <c:catAx>
        <c:axId val="2694442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463423"/>
        <c:crosses val="autoZero"/>
        <c:auto val="1"/>
        <c:lblAlgn val="ctr"/>
        <c:lblOffset val="100"/>
        <c:noMultiLvlLbl val="0"/>
      </c:catAx>
      <c:valAx>
        <c:axId val="269463423"/>
        <c:scaling>
          <c:orientation val="maxMin"/>
          <c:max val="1"/>
          <c:min val="-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;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444223"/>
        <c:crosses val="autoZero"/>
        <c:crossBetween val="between"/>
        <c:majorUnit val="0.25"/>
      </c:valAx>
      <c:valAx>
        <c:axId val="269457183"/>
        <c:scaling>
          <c:orientation val="minMax"/>
          <c:min val="-1"/>
        </c:scaling>
        <c:delete val="0"/>
        <c:axPos val="t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461503"/>
        <c:crosses val="max"/>
        <c:crossBetween val="between"/>
      </c:valAx>
      <c:catAx>
        <c:axId val="2694615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694571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5417750986349741E-2"/>
          <c:y val="0.12786229664242782"/>
          <c:w val="0.23400507137380103"/>
          <c:h val="7.760553942829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b="0">
                <a:solidFill>
                  <a:schemeClr val="tx1">
                    <a:lumMod val="85000"/>
                    <a:lumOff val="1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altLang="en-US" b="0">
                <a:solidFill>
                  <a:schemeClr val="tx1">
                    <a:lumMod val="85000"/>
                    <a:lumOff val="1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苏州派森</a:t>
            </a:r>
            <a:r>
              <a:rPr lang="en-US" altLang="zh-CN" b="0">
                <a:solidFill>
                  <a:schemeClr val="tx1">
                    <a:lumMod val="85000"/>
                    <a:lumOff val="1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Office</a:t>
            </a:r>
            <a:r>
              <a:rPr lang="zh-CN" altLang="en-US" b="0">
                <a:solidFill>
                  <a:schemeClr val="tx1">
                    <a:lumMod val="85000"/>
                    <a:lumOff val="1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学院市场调查项目进度</a:t>
            </a:r>
          </a:p>
        </c:rich>
      </c:tx>
      <c:layout>
        <c:manualLayout>
          <c:xMode val="edge"/>
          <c:yMode val="edge"/>
          <c:x val="5.160883280757099E-2"/>
          <c:y val="4.216072031756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908326916548681"/>
          <c:y val="0.26676199858413013"/>
          <c:w val="0.83773069375791753"/>
          <c:h val="0.6911530818684281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图表2!$B$1</c:f>
              <c:strCache>
                <c:ptCount val="1"/>
                <c:pt idx="0">
                  <c:v>计划开始日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图表2!$A$2:$A$9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图表2!$B$2:$B$9</c:f>
              <c:numCache>
                <c:formatCode>m/d/yyyy</c:formatCode>
                <c:ptCount val="8"/>
                <c:pt idx="0">
                  <c:v>41760</c:v>
                </c:pt>
                <c:pt idx="1">
                  <c:v>41763</c:v>
                </c:pt>
                <c:pt idx="2">
                  <c:v>41765</c:v>
                </c:pt>
                <c:pt idx="3">
                  <c:v>41767</c:v>
                </c:pt>
                <c:pt idx="4">
                  <c:v>41768</c:v>
                </c:pt>
                <c:pt idx="5">
                  <c:v>41778</c:v>
                </c:pt>
                <c:pt idx="6">
                  <c:v>41782</c:v>
                </c:pt>
                <c:pt idx="7">
                  <c:v>41785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A-4B94-B16C-518E86EEC3D8}"/>
            </c:ext>
          </c:extLst>
        </c:ser>
        <c:ser>
          <c:idx val="1"/>
          <c:order val="1"/>
          <c:tx>
            <c:strRef>
              <c:f>图表2!$C$1</c:f>
              <c:strCache>
                <c:ptCount val="1"/>
                <c:pt idx="0">
                  <c:v>天数</c:v>
                </c:pt>
              </c:strCache>
            </c:strRef>
          </c:tx>
          <c:invertIfNegative val="0"/>
          <c:cat>
            <c:strRef>
              <c:f>图表2!$A$2:$A$9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图表2!$C$2:$C$9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A-4B94-B16C-518E86EEC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21924224"/>
        <c:axId val="121934208"/>
      </c:barChart>
      <c:catAx>
        <c:axId val="12192422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121934208"/>
        <c:crosses val="autoZero"/>
        <c:auto val="1"/>
        <c:lblAlgn val="ctr"/>
        <c:lblOffset val="100"/>
        <c:noMultiLvlLbl val="0"/>
      </c:catAx>
      <c:valAx>
        <c:axId val="121934208"/>
        <c:scaling>
          <c:orientation val="minMax"/>
          <c:max val="41790"/>
          <c:min val="41760"/>
        </c:scaling>
        <c:delete val="0"/>
        <c:axPos val="t"/>
        <c:majorGridlines>
          <c:spPr>
            <a:ln>
              <a:prstDash val="dash"/>
            </a:ln>
          </c:spPr>
        </c:majorGridlines>
        <c:numFmt formatCode="m/d;@" sourceLinked="0"/>
        <c:majorTickMark val="out"/>
        <c:minorTickMark val="none"/>
        <c:tickLblPos val="nextTo"/>
        <c:crossAx val="121924224"/>
        <c:crosses val="autoZero"/>
        <c:crossBetween val="between"/>
        <c:majorUnit val="3"/>
      </c:valAx>
    </c:plotArea>
    <c:plotVisOnly val="1"/>
    <c:dispBlanksAs val="gap"/>
    <c:showDLblsOverMax val="0"/>
  </c:chart>
  <c:spPr>
    <a:effectLst>
      <a:outerShdw blurRad="63500" sx="102000" sy="102000" algn="ctr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 b="1"/>
              <a:t>苏州派森</a:t>
            </a:r>
            <a:r>
              <a:rPr lang="en-US" altLang="zh-CN" sz="2000" b="1"/>
              <a:t>Office</a:t>
            </a:r>
            <a:r>
              <a:rPr lang="zh-CN" altLang="en-US" sz="2000" b="1"/>
              <a:t>学院市场调查项目进度</a:t>
            </a:r>
            <a:endParaRPr lang="en-US" altLang="zh-CN" sz="2000" b="1"/>
          </a:p>
        </c:rich>
      </c:tx>
      <c:layout>
        <c:manualLayout>
          <c:xMode val="edge"/>
          <c:yMode val="edge"/>
          <c:x val="4.9870786102875764E-2"/>
          <c:y val="4.77427881193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00027235387436"/>
          <c:y val="0.23408148782420796"/>
          <c:w val="0.84864428473997022"/>
          <c:h val="0.7288153329352996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图表2!$B$1</c:f>
              <c:strCache>
                <c:ptCount val="1"/>
                <c:pt idx="0">
                  <c:v>计划开始日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图表2!$A$2:$A$9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图表2!$B$2:$B$9</c:f>
              <c:numCache>
                <c:formatCode>m/d/yyyy</c:formatCode>
                <c:ptCount val="8"/>
                <c:pt idx="0">
                  <c:v>41760</c:v>
                </c:pt>
                <c:pt idx="1">
                  <c:v>41763</c:v>
                </c:pt>
                <c:pt idx="2">
                  <c:v>41765</c:v>
                </c:pt>
                <c:pt idx="3">
                  <c:v>41767</c:v>
                </c:pt>
                <c:pt idx="4">
                  <c:v>41768</c:v>
                </c:pt>
                <c:pt idx="5">
                  <c:v>41778</c:v>
                </c:pt>
                <c:pt idx="6">
                  <c:v>41782</c:v>
                </c:pt>
                <c:pt idx="7">
                  <c:v>41785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2-44B6-9978-B3AC63A7C2B5}"/>
            </c:ext>
          </c:extLst>
        </c:ser>
        <c:ser>
          <c:idx val="1"/>
          <c:order val="1"/>
          <c:tx>
            <c:strRef>
              <c:f>图表2!$C$1</c:f>
              <c:strCache>
                <c:ptCount val="1"/>
                <c:pt idx="0">
                  <c:v>天数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图表2!$A$2:$A$9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图表2!$C$2:$C$9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2-44B6-9978-B3AC63A7C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515197647"/>
        <c:axId val="515196207"/>
      </c:barChart>
      <c:catAx>
        <c:axId val="51519764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515196207"/>
        <c:crosses val="autoZero"/>
        <c:auto val="1"/>
        <c:lblAlgn val="ctr"/>
        <c:lblOffset val="100"/>
        <c:noMultiLvlLbl val="0"/>
      </c:catAx>
      <c:valAx>
        <c:axId val="515196207"/>
        <c:scaling>
          <c:orientation val="minMax"/>
          <c:max val="41790"/>
          <c:min val="41760"/>
        </c:scaling>
        <c:delete val="0"/>
        <c:axPos val="t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m/d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19764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0" i="0" baseline="0">
                <a:effectLst/>
              </a:rPr>
              <a:t>苏州派森</a:t>
            </a:r>
            <a:r>
              <a:rPr lang="en-US" altLang="zh-CN" sz="1800" b="0" i="0" baseline="0">
                <a:effectLst/>
              </a:rPr>
              <a:t>Office</a:t>
            </a:r>
            <a:r>
              <a:rPr lang="zh-CN" altLang="zh-CN" sz="1800" b="0" i="0" baseline="0">
                <a:effectLst/>
              </a:rPr>
              <a:t>学院市场调查项目进度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5.5445771066666483E-2"/>
          <c:y val="7.28767994909727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88512522512109"/>
          <c:y val="0.33459370608976907"/>
          <c:w val="0.81147111137730221"/>
          <c:h val="0.622832524722288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图表3!$B$1</c:f>
              <c:strCache>
                <c:ptCount val="1"/>
                <c:pt idx="0">
                  <c:v>计划开始日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图表3!$A$2:$A$9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图表3!$B$2:$B$9</c:f>
              <c:numCache>
                <c:formatCode>m/d/yyyy</c:formatCode>
                <c:ptCount val="8"/>
                <c:pt idx="0">
                  <c:v>41760</c:v>
                </c:pt>
                <c:pt idx="1">
                  <c:v>41763</c:v>
                </c:pt>
                <c:pt idx="2">
                  <c:v>41765</c:v>
                </c:pt>
                <c:pt idx="3">
                  <c:v>41767</c:v>
                </c:pt>
                <c:pt idx="4">
                  <c:v>41768</c:v>
                </c:pt>
                <c:pt idx="5">
                  <c:v>41778</c:v>
                </c:pt>
                <c:pt idx="6">
                  <c:v>41782</c:v>
                </c:pt>
                <c:pt idx="7">
                  <c:v>41785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D-485E-AAD0-FB14675B5A03}"/>
            </c:ext>
          </c:extLst>
        </c:ser>
        <c:ser>
          <c:idx val="1"/>
          <c:order val="1"/>
          <c:tx>
            <c:strRef>
              <c:f>图表3!$E$1</c:f>
              <c:strCache>
                <c:ptCount val="1"/>
                <c:pt idx="0">
                  <c:v>已完成</c:v>
                </c:pt>
              </c:strCache>
            </c:strRef>
          </c:tx>
          <c:spPr>
            <a:solidFill>
              <a:schemeClr val="tx2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图表3!$A$2:$A$9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图表3!$E$2:$E$9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9D-485E-AAD0-FB14675B5A03}"/>
            </c:ext>
          </c:extLst>
        </c:ser>
        <c:ser>
          <c:idx val="2"/>
          <c:order val="2"/>
          <c:tx>
            <c:strRef>
              <c:f>图表3!$F$1</c:f>
              <c:strCache>
                <c:ptCount val="1"/>
                <c:pt idx="0">
                  <c:v>未完成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图表3!$A$2:$A$9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图表3!$F$2:$F$9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9D-485E-AAD0-FB14675B5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"/>
        <c:overlap val="100"/>
        <c:axId val="123668352"/>
        <c:axId val="123669888"/>
      </c:barChart>
      <c:catAx>
        <c:axId val="12366835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123669888"/>
        <c:crosses val="autoZero"/>
        <c:auto val="1"/>
        <c:lblAlgn val="ctr"/>
        <c:lblOffset val="100"/>
        <c:noMultiLvlLbl val="0"/>
      </c:catAx>
      <c:valAx>
        <c:axId val="123669888"/>
        <c:scaling>
          <c:orientation val="minMax"/>
          <c:max val="41790"/>
          <c:min val="41760"/>
        </c:scaling>
        <c:delete val="0"/>
        <c:axPos val="t"/>
        <c:majorGridlines>
          <c:spPr>
            <a:ln>
              <a:prstDash val="dash"/>
            </a:ln>
          </c:spPr>
        </c:majorGridlines>
        <c:numFmt formatCode="m/d;@" sourceLinked="0"/>
        <c:majorTickMark val="out"/>
        <c:minorTickMark val="none"/>
        <c:tickLblPos val="nextTo"/>
        <c:crossAx val="123668352"/>
        <c:crosses val="autoZero"/>
        <c:crossBetween val="between"/>
        <c:majorUnit val="3"/>
      </c:valAx>
    </c:plotArea>
    <c:plotVisOnly val="1"/>
    <c:dispBlanksAs val="gap"/>
    <c:showDLblsOverMax val="0"/>
  </c:chart>
  <c:spPr>
    <a:effectLst>
      <a:outerShdw blurRad="63500" sx="102000" sy="102000" algn="ctr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kern="1200" baseline="0">
                <a:solidFill>
                  <a:sysClr val="windowText" lastClr="000000"/>
                </a:solidFill>
                <a:effectLst/>
              </a:rPr>
              <a:t>苏州派森</a:t>
            </a:r>
            <a:r>
              <a:rPr lang="en-US" altLang="zh-CN" sz="1400" b="0" i="0" u="none" strike="noStrike" kern="1200" baseline="0">
                <a:solidFill>
                  <a:sysClr val="windowText" lastClr="000000"/>
                </a:solidFill>
                <a:effectLst/>
              </a:rPr>
              <a:t>Office</a:t>
            </a:r>
            <a:r>
              <a:rPr lang="zh-CN" altLang="zh-CN" sz="1400" b="0" i="0" u="none" strike="noStrike" kern="1200" baseline="0">
                <a:solidFill>
                  <a:sysClr val="windowText" lastClr="000000"/>
                </a:solidFill>
                <a:effectLst/>
              </a:rPr>
              <a:t>学院市场调查项目进度</a:t>
            </a:r>
            <a:endParaRPr lang="zh-CN" altLang="zh-CN" sz="1400" b="1" i="0" u="none" strike="noStrike" kern="1200" baseline="0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3.6481621805642496E-2"/>
          <c:y val="5.2999009452176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078179063721547"/>
          <c:y val="0.34146164565250237"/>
          <c:w val="0.83271588082368564"/>
          <c:h val="0.612513137350368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计划开始日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Sheet1!$B$2:$B$9</c:f>
              <c:numCache>
                <c:formatCode>m/d/yyyy</c:formatCode>
                <c:ptCount val="8"/>
                <c:pt idx="0">
                  <c:v>41760</c:v>
                </c:pt>
                <c:pt idx="1">
                  <c:v>41763</c:v>
                </c:pt>
                <c:pt idx="2">
                  <c:v>41765</c:v>
                </c:pt>
                <c:pt idx="3">
                  <c:v>41767</c:v>
                </c:pt>
                <c:pt idx="4">
                  <c:v>41768</c:v>
                </c:pt>
                <c:pt idx="5">
                  <c:v>41778</c:v>
                </c:pt>
                <c:pt idx="6">
                  <c:v>41782</c:v>
                </c:pt>
                <c:pt idx="7">
                  <c:v>41785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3-445F-8B91-9BFF2EB02152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已完成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Sheet1!$A$2:$A$9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3-445F-8B91-9BFF2EB02152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未完成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Sheet1!$A$2:$A$9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Sheet1!$F$2:$F$9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3-445F-8B91-9BFF2EB0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515197167"/>
        <c:axId val="515194767"/>
      </c:barChart>
      <c:catAx>
        <c:axId val="51519716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194767"/>
        <c:crosses val="autoZero"/>
        <c:auto val="1"/>
        <c:lblAlgn val="ctr"/>
        <c:lblOffset val="100"/>
        <c:noMultiLvlLbl val="0"/>
      </c:catAx>
      <c:valAx>
        <c:axId val="515194767"/>
        <c:scaling>
          <c:orientation val="minMax"/>
          <c:max val="41790"/>
          <c:min val="41760"/>
        </c:scaling>
        <c:delete val="0"/>
        <c:axPos val="t"/>
        <c:majorGridlines>
          <c:spPr>
            <a:ln w="9525" cap="flat" cmpd="sng" algn="ctr">
              <a:solidFill>
                <a:schemeClr val="lt1">
                  <a:shade val="50000"/>
                </a:schemeClr>
              </a:solidFill>
              <a:prstDash val="dash"/>
              <a:round/>
            </a:ln>
            <a:effectLst/>
          </c:spPr>
        </c:majorGridlines>
        <c:numFmt formatCode="m/d" sourceLinked="0"/>
        <c:majorTickMark val="out"/>
        <c:minorTickMark val="none"/>
        <c:tickLblPos val="nextTo"/>
        <c:spPr>
          <a:noFill/>
          <a:ln w="3175"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19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6" fmlaLink="$D$11" horiz="1" max="30" page="10" val="13"/>
</file>

<file path=xl/ctrlProps/ctrlProp2.xml><?xml version="1.0" encoding="utf-8"?>
<formControlPr xmlns="http://schemas.microsoft.com/office/spreadsheetml/2009/9/main" objectType="Scroll" dx="31" fmlaLink="$C$14" horiz="1" max="31" page="10" val="6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28575</xdr:rowOff>
    </xdr:from>
    <xdr:to>
      <xdr:col>7</xdr:col>
      <xdr:colOff>241189</xdr:colOff>
      <xdr:row>7</xdr:row>
      <xdr:rowOff>2013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28575"/>
          <a:ext cx="4584589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32" name="图片 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47626</xdr:colOff>
      <xdr:row>2</xdr:row>
      <xdr:rowOff>46117</xdr:rowOff>
    </xdr:from>
    <xdr:to>
      <xdr:col>16</xdr:col>
      <xdr:colOff>542926</xdr:colOff>
      <xdr:row>9</xdr:row>
      <xdr:rowOff>77012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6" y="408067"/>
          <a:ext cx="2552700" cy="129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503530</xdr:colOff>
      <xdr:row>3</xdr:row>
      <xdr:rowOff>62967</xdr:rowOff>
    </xdr:from>
    <xdr:to>
      <xdr:col>17</xdr:col>
      <xdr:colOff>427103</xdr:colOff>
      <xdr:row>24</xdr:row>
      <xdr:rowOff>24867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61366</xdr:colOff>
      <xdr:row>3</xdr:row>
      <xdr:rowOff>171291</xdr:rowOff>
    </xdr:from>
    <xdr:to>
      <xdr:col>8</xdr:col>
      <xdr:colOff>563496</xdr:colOff>
      <xdr:row>24</xdr:row>
      <xdr:rowOff>3203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861DB94-6065-B765-BEFB-1E879A8DA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136403</xdr:rowOff>
    </xdr:from>
    <xdr:to>
      <xdr:col>8</xdr:col>
      <xdr:colOff>299944</xdr:colOff>
      <xdr:row>20</xdr:row>
      <xdr:rowOff>131642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506398</xdr:colOff>
      <xdr:row>0</xdr:row>
      <xdr:rowOff>127000</xdr:rowOff>
    </xdr:from>
    <xdr:to>
      <xdr:col>18</xdr:col>
      <xdr:colOff>45358</xdr:colOff>
      <xdr:row>20</xdr:row>
      <xdr:rowOff>82176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1A60C56-2F51-260D-59EA-8774C8580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509493</xdr:colOff>
      <xdr:row>1</xdr:row>
      <xdr:rowOff>15690</xdr:rowOff>
    </xdr:from>
    <xdr:to>
      <xdr:col>15</xdr:col>
      <xdr:colOff>132976</xdr:colOff>
      <xdr:row>21</xdr:row>
      <xdr:rowOff>181350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233083</xdr:colOff>
          <xdr:row>4</xdr:row>
          <xdr:rowOff>142689</xdr:rowOff>
        </xdr:from>
        <xdr:to>
          <xdr:col>10</xdr:col>
          <xdr:colOff>374276</xdr:colOff>
          <xdr:row>5</xdr:row>
          <xdr:rowOff>184524</xdr:rowOff>
        </xdr:to>
        <xdr:sp macro="" textlink="">
          <xdr:nvSpPr>
            <xdr:cNvPr id="6145" name="Scroll Ba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657038</xdr:colOff>
      <xdr:row>4</xdr:row>
      <xdr:rowOff>120464</xdr:rowOff>
    </xdr:from>
    <xdr:to>
      <xdr:col>13</xdr:col>
      <xdr:colOff>456827</xdr:colOff>
      <xdr:row>5</xdr:row>
      <xdr:rowOff>181349</xdr:rowOff>
    </xdr:to>
    <xdr:sp macro="" textlink="$C$11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940862" y="897405"/>
          <a:ext cx="1114612" cy="255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60AD22-F724-47FA-8199-9780368A9C08}" type="TxLink">
            <a:rPr lang="en-US" altLang="en-US" sz="900" b="1" i="0" u="none" strike="noStrike">
              <a:solidFill>
                <a:srgbClr val="000000"/>
              </a:solidFill>
              <a:latin typeface="宋体"/>
              <a:ea typeface="宋体"/>
            </a:rPr>
            <a:pPr/>
            <a:t>14/5/2014</a:t>
          </a:fld>
          <a:endParaRPr lang="zh-CN" altLang="en-US" sz="1100"/>
        </a:p>
      </xdr:txBody>
    </xdr:sp>
    <xdr:clientData/>
  </xdr:twoCellAnchor>
  <xdr:twoCellAnchor>
    <xdr:from>
      <xdr:col>10</xdr:col>
      <xdr:colOff>561788</xdr:colOff>
      <xdr:row>4</xdr:row>
      <xdr:rowOff>82363</xdr:rowOff>
    </xdr:from>
    <xdr:to>
      <xdr:col>12</xdr:col>
      <xdr:colOff>113927</xdr:colOff>
      <xdr:row>5</xdr:row>
      <xdr:rowOff>181349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188200" y="859304"/>
          <a:ext cx="866962" cy="293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当前日期：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</xdr:row>
      <xdr:rowOff>114300</xdr:rowOff>
    </xdr:from>
    <xdr:to>
      <xdr:col>10</xdr:col>
      <xdr:colOff>234950</xdr:colOff>
      <xdr:row>18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1F33676-9AC5-5C20-64A8-51E6E9C78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5</xdr:row>
          <xdr:rowOff>25400</xdr:rowOff>
        </xdr:from>
        <xdr:to>
          <xdr:col>6</xdr:col>
          <xdr:colOff>266700</xdr:colOff>
          <xdr:row>6</xdr:row>
          <xdr:rowOff>50800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0.63738</cdr:x>
      <cdr:y>0.15352</cdr:y>
    </cdr:from>
    <cdr:to>
      <cdr:x>0.83821</cdr:x>
      <cdr:y>0.24094</cdr:y>
    </cdr:to>
    <cdr:sp macro="" textlink="Sheet1!$B$12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FFB60B1B-CC65-298B-7D62-17B062D12EE7}"/>
            </a:ext>
          </a:extLst>
        </cdr:cNvPr>
        <cdr:cNvSpPr txBox="1"/>
      </cdr:nvSpPr>
      <cdr:spPr>
        <a:xfrm xmlns:a="http://schemas.openxmlformats.org/drawingml/2006/main">
          <a:off x="2901950" y="457200"/>
          <a:ext cx="914400" cy="260350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>
              <a:lumMod val="50000"/>
              <a:lumOff val="50000"/>
              <a:alpha val="42000"/>
            </a:schemeClr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9AD34A9-21C2-4DFF-8F77-CD964DD52852}" type="TxLink">
            <a:rPr lang="en-US" altLang="en-US" sz="1000" b="1" i="0" u="none" strike="noStrike" kern="1200">
              <a:solidFill>
                <a:srgbClr val="000000"/>
              </a:solidFill>
              <a:latin typeface="宋体"/>
              <a:ea typeface="宋体"/>
            </a:rPr>
            <a:t>7/5/2014</a:t>
          </a:fld>
          <a:endParaRPr lang="zh-CN" altLang="en-US" sz="1200" kern="1200"/>
        </a:p>
      </cdr:txBody>
    </cdr:sp>
  </cdr:relSizeAnchor>
  <cdr:relSizeAnchor xmlns:cdr="http://schemas.openxmlformats.org/drawingml/2006/chartDrawing">
    <cdr:from>
      <cdr:x>0.52999</cdr:x>
      <cdr:y>0.15352</cdr:y>
    </cdr:from>
    <cdr:to>
      <cdr:x>0.66527</cdr:x>
      <cdr:y>0.23667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710C5E49-27AF-89FB-3289-20B09FBCE580}"/>
            </a:ext>
          </a:extLst>
        </cdr:cNvPr>
        <cdr:cNvSpPr txBox="1"/>
      </cdr:nvSpPr>
      <cdr:spPr>
        <a:xfrm xmlns:a="http://schemas.openxmlformats.org/drawingml/2006/main">
          <a:off x="2413000" y="457200"/>
          <a:ext cx="6159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1100" kern="1200"/>
            <a:t>日期：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32"/>
  <sheetViews>
    <sheetView topLeftCell="A5" zoomScaleNormal="100" workbookViewId="0">
      <selection activeCell="E30" sqref="E30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6" t="s">
        <v>10</v>
      </c>
    </row>
    <row r="10" spans="1:2" s="3" customFormat="1" ht="13" outlineLevel="1" x14ac:dyDescent="0.25"/>
    <row r="11" spans="1:2" s="3" customFormat="1" ht="13" outlineLevel="1" x14ac:dyDescent="0.25">
      <c r="B11" s="10" t="s">
        <v>11</v>
      </c>
    </row>
    <row r="12" spans="1:2" s="3" customFormat="1" ht="13" outlineLevel="1" x14ac:dyDescent="0.25"/>
    <row r="13" spans="1:2" s="3" customFormat="1" ht="13" outlineLevel="1" x14ac:dyDescent="0.25">
      <c r="B13" s="10" t="s">
        <v>12</v>
      </c>
    </row>
    <row r="14" spans="1:2" s="3" customFormat="1" ht="13" outlineLevel="1" x14ac:dyDescent="0.25">
      <c r="B14" s="10"/>
    </row>
    <row r="15" spans="1:2" s="3" customFormat="1" ht="13" outlineLevel="1" x14ac:dyDescent="0.25">
      <c r="B15" s="10" t="s">
        <v>13</v>
      </c>
    </row>
    <row r="16" spans="1:2" s="3" customFormat="1" ht="13" outlineLevel="1" x14ac:dyDescent="0.25"/>
    <row r="17" spans="1:7" s="3" customFormat="1" ht="13" outlineLevel="1" x14ac:dyDescent="0.25"/>
    <row r="18" spans="1:7" s="3" customFormat="1" ht="13" x14ac:dyDescent="0.25"/>
    <row r="19" spans="1:7" s="3" customFormat="1" ht="13" x14ac:dyDescent="0.25">
      <c r="A19" s="3" t="s">
        <v>1</v>
      </c>
      <c r="B19" s="9" t="s">
        <v>14</v>
      </c>
    </row>
    <row r="20" spans="1:7" s="3" customFormat="1" ht="13" outlineLevel="1" x14ac:dyDescent="0.25"/>
    <row r="21" spans="1:7" s="3" customFormat="1" ht="13" outlineLevel="1" x14ac:dyDescent="0.25">
      <c r="B21" s="10" t="s">
        <v>28</v>
      </c>
    </row>
    <row r="22" spans="1:7" s="3" customFormat="1" ht="13" outlineLevel="1" x14ac:dyDescent="0.25"/>
    <row r="23" spans="1:7" s="3" customFormat="1" outlineLevel="1" x14ac:dyDescent="0.25">
      <c r="B23" s="10" t="s">
        <v>29</v>
      </c>
      <c r="C23" s="4"/>
      <c r="G23" s="5"/>
    </row>
    <row r="24" spans="1:7" s="3" customFormat="1" outlineLevel="1" x14ac:dyDescent="0.25">
      <c r="B24" s="10"/>
      <c r="C24" s="4"/>
      <c r="G24" s="5"/>
    </row>
    <row r="25" spans="1:7" s="3" customFormat="1" ht="13" outlineLevel="1" x14ac:dyDescent="0.25">
      <c r="C25" s="4"/>
    </row>
    <row r="26" spans="1:7" s="3" customFormat="1" ht="13" x14ac:dyDescent="0.25"/>
    <row r="27" spans="1:7" x14ac:dyDescent="0.25">
      <c r="C27" s="3"/>
      <c r="E27" s="3"/>
    </row>
    <row r="28" spans="1:7" x14ac:dyDescent="0.25">
      <c r="C28" s="3"/>
      <c r="E28" s="3"/>
    </row>
    <row r="29" spans="1:7" x14ac:dyDescent="0.25">
      <c r="E29" s="3"/>
    </row>
    <row r="30" spans="1:7" x14ac:dyDescent="0.25">
      <c r="E30" s="3"/>
    </row>
    <row r="31" spans="1:7" x14ac:dyDescent="0.25">
      <c r="E31" s="3"/>
    </row>
    <row r="32" spans="1:7" x14ac:dyDescent="0.25">
      <c r="E3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70" zoomScaleNormal="70" workbookViewId="0">
      <selection activeCell="M29" sqref="M29"/>
    </sheetView>
  </sheetViews>
  <sheetFormatPr defaultRowHeight="15" x14ac:dyDescent="0.25"/>
  <sheetData>
    <row r="1" spans="1:3" x14ac:dyDescent="0.25">
      <c r="B1" t="s">
        <v>2</v>
      </c>
      <c r="C1" t="s">
        <v>3</v>
      </c>
    </row>
    <row r="2" spans="1:3" x14ac:dyDescent="0.25">
      <c r="A2" s="7" t="s">
        <v>4</v>
      </c>
      <c r="B2" s="8">
        <v>0.32</v>
      </c>
      <c r="C2" s="8">
        <f t="shared" ref="C2:C7" si="0">1-B2</f>
        <v>0.67999999999999994</v>
      </c>
    </row>
    <row r="3" spans="1:3" x14ac:dyDescent="0.25">
      <c r="A3" s="7" t="s">
        <v>5</v>
      </c>
      <c r="B3" s="8">
        <v>0.55000000000000004</v>
      </c>
      <c r="C3" s="8">
        <f t="shared" si="0"/>
        <v>0.44999999999999996</v>
      </c>
    </row>
    <row r="4" spans="1:3" x14ac:dyDescent="0.25">
      <c r="A4" s="7" t="s">
        <v>6</v>
      </c>
      <c r="B4" s="8">
        <v>0.6</v>
      </c>
      <c r="C4" s="8">
        <f t="shared" si="0"/>
        <v>0.4</v>
      </c>
    </row>
    <row r="5" spans="1:3" x14ac:dyDescent="0.25">
      <c r="A5" s="7" t="s">
        <v>7</v>
      </c>
      <c r="B5" s="8">
        <v>0.73</v>
      </c>
      <c r="C5" s="8">
        <f t="shared" si="0"/>
        <v>0.27</v>
      </c>
    </row>
    <row r="6" spans="1:3" x14ac:dyDescent="0.25">
      <c r="A6" s="7" t="s">
        <v>8</v>
      </c>
      <c r="B6" s="8">
        <v>0.82</v>
      </c>
      <c r="C6" s="8">
        <f t="shared" si="0"/>
        <v>0.18000000000000005</v>
      </c>
    </row>
    <row r="7" spans="1:3" x14ac:dyDescent="0.25">
      <c r="A7" s="7" t="s">
        <v>9</v>
      </c>
      <c r="B7" s="8">
        <v>0.76</v>
      </c>
      <c r="C7" s="8">
        <f t="shared" si="0"/>
        <v>0.24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="70" zoomScaleNormal="70" workbookViewId="0">
      <selection activeCell="O26" sqref="O26"/>
    </sheetView>
  </sheetViews>
  <sheetFormatPr defaultRowHeight="15" x14ac:dyDescent="0.25"/>
  <cols>
    <col min="2" max="2" width="11.58203125" bestFit="1" customWidth="1"/>
  </cols>
  <sheetData>
    <row r="1" spans="1:6" x14ac:dyDescent="0.25">
      <c r="A1" s="13"/>
      <c r="B1" s="13" t="s">
        <v>15</v>
      </c>
      <c r="C1" s="13" t="s">
        <v>16</v>
      </c>
    </row>
    <row r="2" spans="1:6" x14ac:dyDescent="0.25">
      <c r="A2" s="13" t="s">
        <v>17</v>
      </c>
      <c r="B2" s="11">
        <v>41760</v>
      </c>
      <c r="C2" s="12">
        <v>5</v>
      </c>
    </row>
    <row r="3" spans="1:6" x14ac:dyDescent="0.25">
      <c r="A3" s="13" t="s">
        <v>18</v>
      </c>
      <c r="B3" s="11">
        <v>41763</v>
      </c>
      <c r="C3" s="12">
        <v>3</v>
      </c>
    </row>
    <row r="4" spans="1:6" x14ac:dyDescent="0.25">
      <c r="A4" s="13" t="s">
        <v>19</v>
      </c>
      <c r="B4" s="11">
        <v>41765</v>
      </c>
      <c r="C4" s="12">
        <v>3</v>
      </c>
    </row>
    <row r="5" spans="1:6" x14ac:dyDescent="0.25">
      <c r="A5" s="13" t="s">
        <v>20</v>
      </c>
      <c r="B5" s="11">
        <v>41767</v>
      </c>
      <c r="C5" s="12">
        <v>1</v>
      </c>
    </row>
    <row r="6" spans="1:6" x14ac:dyDescent="0.25">
      <c r="A6" s="13" t="s">
        <v>21</v>
      </c>
      <c r="B6" s="11">
        <v>41768</v>
      </c>
      <c r="C6" s="12">
        <v>10</v>
      </c>
    </row>
    <row r="7" spans="1:6" x14ac:dyDescent="0.25">
      <c r="A7" s="13" t="s">
        <v>22</v>
      </c>
      <c r="B7" s="11">
        <v>41778</v>
      </c>
      <c r="C7" s="12">
        <v>5</v>
      </c>
    </row>
    <row r="8" spans="1:6" x14ac:dyDescent="0.25">
      <c r="A8" s="13" t="s">
        <v>23</v>
      </c>
      <c r="B8" s="11">
        <v>41782</v>
      </c>
      <c r="C8" s="12">
        <v>3</v>
      </c>
      <c r="F8">
        <v>7</v>
      </c>
    </row>
    <row r="9" spans="1:6" x14ac:dyDescent="0.25">
      <c r="A9" s="13" t="s">
        <v>24</v>
      </c>
      <c r="B9" s="11">
        <v>41785</v>
      </c>
      <c r="C9" s="12">
        <v>5</v>
      </c>
    </row>
    <row r="11" spans="1:6" x14ac:dyDescent="0.25">
      <c r="B11" s="15">
        <v>41760</v>
      </c>
    </row>
    <row r="12" spans="1:6" x14ac:dyDescent="0.25">
      <c r="B12" s="15">
        <f>41785+C9</f>
        <v>41790</v>
      </c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="85" zoomScaleNormal="85" workbookViewId="0">
      <selection activeCell="F25" sqref="F25"/>
    </sheetView>
  </sheetViews>
  <sheetFormatPr defaultRowHeight="15" x14ac:dyDescent="0.25"/>
  <cols>
    <col min="3" max="3" width="9.33203125" bestFit="1" customWidth="1"/>
  </cols>
  <sheetData>
    <row r="1" spans="1:6" x14ac:dyDescent="0.25">
      <c r="A1" s="13"/>
      <c r="B1" s="13" t="s">
        <v>15</v>
      </c>
      <c r="C1" s="13" t="s">
        <v>16</v>
      </c>
      <c r="E1" s="13" t="s">
        <v>25</v>
      </c>
      <c r="F1" s="13" t="s">
        <v>26</v>
      </c>
    </row>
    <row r="2" spans="1:6" x14ac:dyDescent="0.25">
      <c r="A2" s="13" t="s">
        <v>17</v>
      </c>
      <c r="B2" s="11">
        <v>41760</v>
      </c>
      <c r="C2" s="12">
        <v>5</v>
      </c>
      <c r="E2">
        <f>IF($C$11&lt;B2,0,IF($C$11&gt;B2+C2,C2,$C$11-B2))</f>
        <v>5</v>
      </c>
      <c r="F2">
        <f>C2-E2</f>
        <v>0</v>
      </c>
    </row>
    <row r="3" spans="1:6" x14ac:dyDescent="0.25">
      <c r="A3" s="13" t="s">
        <v>18</v>
      </c>
      <c r="B3" s="11">
        <v>41763</v>
      </c>
      <c r="C3" s="12">
        <v>3</v>
      </c>
      <c r="E3">
        <f t="shared" ref="E3:E9" si="0">IF($C$11&lt;B3,0,IF($C$11&gt;B3+C3,C3,$C$11-B3))</f>
        <v>3</v>
      </c>
      <c r="F3">
        <f t="shared" ref="F3:F9" si="1">C3-E3</f>
        <v>0</v>
      </c>
    </row>
    <row r="4" spans="1:6" x14ac:dyDescent="0.25">
      <c r="A4" s="13" t="s">
        <v>19</v>
      </c>
      <c r="B4" s="11">
        <v>41765</v>
      </c>
      <c r="C4" s="12">
        <v>3</v>
      </c>
      <c r="E4">
        <f t="shared" si="0"/>
        <v>3</v>
      </c>
      <c r="F4">
        <f t="shared" si="1"/>
        <v>0</v>
      </c>
    </row>
    <row r="5" spans="1:6" x14ac:dyDescent="0.25">
      <c r="A5" s="13" t="s">
        <v>20</v>
      </c>
      <c r="B5" s="11">
        <v>41767</v>
      </c>
      <c r="C5" s="12">
        <v>1</v>
      </c>
      <c r="E5">
        <f t="shared" si="0"/>
        <v>1</v>
      </c>
      <c r="F5">
        <f t="shared" si="1"/>
        <v>0</v>
      </c>
    </row>
    <row r="6" spans="1:6" x14ac:dyDescent="0.25">
      <c r="A6" s="13" t="s">
        <v>21</v>
      </c>
      <c r="B6" s="11">
        <v>41768</v>
      </c>
      <c r="C6" s="12">
        <v>10</v>
      </c>
      <c r="E6">
        <f t="shared" si="0"/>
        <v>5</v>
      </c>
      <c r="F6">
        <f t="shared" si="1"/>
        <v>5</v>
      </c>
    </row>
    <row r="7" spans="1:6" x14ac:dyDescent="0.25">
      <c r="A7" s="13" t="s">
        <v>22</v>
      </c>
      <c r="B7" s="11">
        <v>41778</v>
      </c>
      <c r="C7" s="12">
        <v>5</v>
      </c>
      <c r="E7">
        <f t="shared" si="0"/>
        <v>0</v>
      </c>
      <c r="F7">
        <f t="shared" si="1"/>
        <v>5</v>
      </c>
    </row>
    <row r="8" spans="1:6" x14ac:dyDescent="0.25">
      <c r="A8" s="13" t="s">
        <v>23</v>
      </c>
      <c r="B8" s="11">
        <v>41782</v>
      </c>
      <c r="C8" s="12">
        <v>3</v>
      </c>
      <c r="E8">
        <f t="shared" si="0"/>
        <v>0</v>
      </c>
      <c r="F8">
        <f t="shared" si="1"/>
        <v>3</v>
      </c>
    </row>
    <row r="9" spans="1:6" x14ac:dyDescent="0.25">
      <c r="A9" s="13" t="s">
        <v>24</v>
      </c>
      <c r="B9" s="11">
        <v>41785</v>
      </c>
      <c r="C9" s="12">
        <v>5</v>
      </c>
      <c r="E9">
        <f t="shared" si="0"/>
        <v>0</v>
      </c>
      <c r="F9">
        <f t="shared" si="1"/>
        <v>5</v>
      </c>
    </row>
    <row r="11" spans="1:6" x14ac:dyDescent="0.25">
      <c r="B11" s="13" t="s">
        <v>27</v>
      </c>
      <c r="C11" s="14">
        <f>41760+D11</f>
        <v>41773</v>
      </c>
      <c r="D11">
        <v>13</v>
      </c>
    </row>
    <row r="17" spans="2:3" x14ac:dyDescent="0.25">
      <c r="B17" s="12">
        <v>41760</v>
      </c>
      <c r="C17" s="12">
        <v>41790</v>
      </c>
    </row>
  </sheetData>
  <phoneticPr fontId="9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croll Bar 1">
              <controlPr defaultSize="0" autoPict="0">
                <anchor moveWithCells="1">
                  <from>
                    <xdr:col>7</xdr:col>
                    <xdr:colOff>234950</xdr:colOff>
                    <xdr:row>4</xdr:row>
                    <xdr:rowOff>139700</xdr:rowOff>
                  </from>
                  <to>
                    <xdr:col>10</xdr:col>
                    <xdr:colOff>374650</xdr:colOff>
                    <xdr:row>5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E298-7794-43EE-BF33-B77E81E85324}">
  <dimension ref="A1:F15"/>
  <sheetViews>
    <sheetView tabSelected="1" workbookViewId="0">
      <selection activeCell="L14" sqref="L14"/>
    </sheetView>
  </sheetViews>
  <sheetFormatPr defaultRowHeight="15" x14ac:dyDescent="0.25"/>
  <cols>
    <col min="3" max="3" width="10.1640625" bestFit="1" customWidth="1"/>
  </cols>
  <sheetData>
    <row r="1" spans="1:6" x14ac:dyDescent="0.25">
      <c r="A1" s="13"/>
      <c r="B1" s="13" t="s">
        <v>15</v>
      </c>
      <c r="C1" s="13" t="s">
        <v>16</v>
      </c>
      <c r="E1" s="13" t="s">
        <v>25</v>
      </c>
      <c r="F1" s="13" t="s">
        <v>26</v>
      </c>
    </row>
    <row r="2" spans="1:6" x14ac:dyDescent="0.25">
      <c r="A2" s="13" t="s">
        <v>17</v>
      </c>
      <c r="B2" s="11">
        <v>41760</v>
      </c>
      <c r="C2" s="12">
        <v>5</v>
      </c>
      <c r="E2">
        <f>IF($B$12&lt;B2,0,IF($B$12&lt;B2+C2,$B$12-B2,Sheet1!C2))</f>
        <v>5</v>
      </c>
      <c r="F2">
        <f>C2-E2</f>
        <v>0</v>
      </c>
    </row>
    <row r="3" spans="1:6" x14ac:dyDescent="0.25">
      <c r="A3" s="13" t="s">
        <v>18</v>
      </c>
      <c r="B3" s="11">
        <v>41763</v>
      </c>
      <c r="C3" s="12">
        <v>3</v>
      </c>
      <c r="E3">
        <f>IF($B$12&lt;B3,0,IF($B$12&lt;B3+C3,$B$12-B3,Sheet1!C3))</f>
        <v>3</v>
      </c>
      <c r="F3">
        <f t="shared" ref="F3:F9" si="0">C3-E3</f>
        <v>0</v>
      </c>
    </row>
    <row r="4" spans="1:6" x14ac:dyDescent="0.25">
      <c r="A4" s="13" t="s">
        <v>19</v>
      </c>
      <c r="B4" s="11">
        <v>41765</v>
      </c>
      <c r="C4" s="12">
        <v>3</v>
      </c>
      <c r="E4">
        <f>IF($B$12&lt;B4,0,IF($B$12&lt;B4+C4,$B$12-B4,Sheet1!C4))</f>
        <v>1</v>
      </c>
      <c r="F4">
        <f t="shared" si="0"/>
        <v>2</v>
      </c>
    </row>
    <row r="5" spans="1:6" x14ac:dyDescent="0.25">
      <c r="A5" s="13" t="s">
        <v>20</v>
      </c>
      <c r="B5" s="11">
        <v>41767</v>
      </c>
      <c r="C5" s="12">
        <v>1</v>
      </c>
      <c r="E5">
        <f>IF($B$12&lt;B5,0,IF($B$12&lt;B5+C5,$B$12-B5,Sheet1!C5))</f>
        <v>0</v>
      </c>
      <c r="F5">
        <f t="shared" si="0"/>
        <v>1</v>
      </c>
    </row>
    <row r="6" spans="1:6" x14ac:dyDescent="0.25">
      <c r="A6" s="13" t="s">
        <v>21</v>
      </c>
      <c r="B6" s="11">
        <v>41768</v>
      </c>
      <c r="C6" s="12">
        <v>10</v>
      </c>
      <c r="E6">
        <f>IF($B$12&lt;B6,0,IF($B$12&lt;B6+C6,$B$12-B6,Sheet1!C6))</f>
        <v>0</v>
      </c>
      <c r="F6">
        <f t="shared" si="0"/>
        <v>10</v>
      </c>
    </row>
    <row r="7" spans="1:6" x14ac:dyDescent="0.25">
      <c r="A7" s="13" t="s">
        <v>22</v>
      </c>
      <c r="B7" s="11">
        <v>41778</v>
      </c>
      <c r="C7" s="12">
        <v>5</v>
      </c>
      <c r="E7">
        <f>IF($B$12&lt;B7,0,IF($B$12&lt;B7+C7,$B$12-B7,Sheet1!C7))</f>
        <v>0</v>
      </c>
      <c r="F7">
        <f t="shared" si="0"/>
        <v>5</v>
      </c>
    </row>
    <row r="8" spans="1:6" x14ac:dyDescent="0.25">
      <c r="A8" s="13" t="s">
        <v>23</v>
      </c>
      <c r="B8" s="11">
        <v>41782</v>
      </c>
      <c r="C8" s="12">
        <v>3</v>
      </c>
      <c r="E8">
        <f>IF($B$12&lt;B8,0,IF($B$12&lt;B8+C8,$B$12-B8,Sheet1!C8))</f>
        <v>0</v>
      </c>
      <c r="F8">
        <f t="shared" si="0"/>
        <v>3</v>
      </c>
    </row>
    <row r="9" spans="1:6" x14ac:dyDescent="0.25">
      <c r="A9" s="13" t="s">
        <v>24</v>
      </c>
      <c r="B9" s="11">
        <v>41785</v>
      </c>
      <c r="C9" s="12">
        <v>5</v>
      </c>
      <c r="E9">
        <f>IF($B$12&lt;B9,0,IF($B$12&lt;B9+C9,$B$12-B9,Sheet1!C9))</f>
        <v>0</v>
      </c>
      <c r="F9">
        <f t="shared" si="0"/>
        <v>5</v>
      </c>
    </row>
    <row r="12" spans="1:6" x14ac:dyDescent="0.25">
      <c r="A12" s="13" t="s">
        <v>27</v>
      </c>
      <c r="B12" s="14">
        <f>B14+C14</f>
        <v>41766</v>
      </c>
    </row>
    <row r="14" spans="1:6" x14ac:dyDescent="0.25">
      <c r="B14" s="15">
        <f>41760</f>
        <v>41760</v>
      </c>
      <c r="C14">
        <v>6</v>
      </c>
    </row>
    <row r="15" spans="1:6" x14ac:dyDescent="0.25">
      <c r="B15" s="11">
        <v>41785</v>
      </c>
      <c r="C15" s="16">
        <f>B15+5</f>
        <v>41790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croll Bar 1">
              <controlPr defaultSize="0" autoPict="0">
                <anchor moveWithCells="1">
                  <from>
                    <xdr:col>3</xdr:col>
                    <xdr:colOff>495300</xdr:colOff>
                    <xdr:row>5</xdr:row>
                    <xdr:rowOff>25400</xdr:rowOff>
                  </from>
                  <to>
                    <xdr:col>6</xdr:col>
                    <xdr:colOff>266700</xdr:colOff>
                    <xdr:row>6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EXCEL课件</vt:lpstr>
      <vt:lpstr>图表1</vt:lpstr>
      <vt:lpstr>图表2</vt:lpstr>
      <vt:lpstr>图表3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2025-10-13T03:25:14Z</dcterms:modified>
</cp:coreProperties>
</file>