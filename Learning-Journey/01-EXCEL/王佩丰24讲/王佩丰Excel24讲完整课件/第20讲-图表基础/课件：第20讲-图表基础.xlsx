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20讲-图表基础\"/>
    </mc:Choice>
  </mc:AlternateContent>
  <xr:revisionPtr revIDLastSave="0" documentId="13_ncr:1_{B285D3CD-6CAD-4919-A2AA-31D0371CFBAA}" xr6:coauthVersionLast="47" xr6:coauthVersionMax="47" xr10:uidLastSave="{00000000-0000-0000-0000-000000000000}"/>
  <bookViews>
    <workbookView xWindow="-110" yWindow="-110" windowWidth="19420" windowHeight="11020" activeTab="6" xr2:uid="{00000000-000D-0000-FFFF-FFFF00000000}"/>
  </bookViews>
  <sheets>
    <sheet name="EXCEL课件" sheetId="1" r:id="rId1"/>
    <sheet name="图表1" sheetId="20" r:id="rId2"/>
    <sheet name="Sheet1" sheetId="24" r:id="rId3"/>
    <sheet name="图表2" sheetId="22" r:id="rId4"/>
    <sheet name="图表3" sheetId="19" r:id="rId5"/>
    <sheet name="图表4" sheetId="21" r:id="rId6"/>
    <sheet name="图表5" sheetId="23" r:id="rId7"/>
  </sheets>
  <calcPr calcId="191029"/>
</workbook>
</file>

<file path=xl/calcChain.xml><?xml version="1.0" encoding="utf-8"?>
<calcChain xmlns="http://schemas.openxmlformats.org/spreadsheetml/2006/main">
  <c r="C7" i="21" l="1"/>
  <c r="C6" i="21"/>
  <c r="C5" i="21"/>
  <c r="C4" i="21"/>
  <c r="C3" i="21"/>
  <c r="C2" i="21"/>
</calcChain>
</file>

<file path=xl/sharedStrings.xml><?xml version="1.0" encoding="utf-8"?>
<sst xmlns="http://schemas.openxmlformats.org/spreadsheetml/2006/main" count="61" uniqueCount="42">
  <si>
    <t>一、</t>
    <phoneticPr fontId="1" type="noConversion"/>
  </si>
  <si>
    <t>三、</t>
    <phoneticPr fontId="1" type="noConversion"/>
  </si>
  <si>
    <t>二、</t>
    <phoneticPr fontId="1" type="noConversion"/>
  </si>
  <si>
    <t>销售人员</t>
  </si>
  <si>
    <t>计划完成</t>
    <phoneticPr fontId="1" type="noConversion"/>
  </si>
  <si>
    <t>实际完成</t>
    <phoneticPr fontId="1" type="noConversion"/>
  </si>
  <si>
    <t>白桦</t>
  </si>
  <si>
    <t>冯文</t>
  </si>
  <si>
    <t>蒋波</t>
  </si>
  <si>
    <t>刘辉</t>
  </si>
  <si>
    <t>熊牧</t>
  </si>
  <si>
    <t>张明</t>
  </si>
  <si>
    <t>赵温江</t>
  </si>
  <si>
    <t>郑浪</t>
  </si>
  <si>
    <t>认识图表中的元素</t>
    <phoneticPr fontId="1" type="noConversion"/>
  </si>
  <si>
    <t>出口</t>
    <phoneticPr fontId="9" type="noConversion"/>
  </si>
  <si>
    <t>内销</t>
    <phoneticPr fontId="9" type="noConversion"/>
  </si>
  <si>
    <t>2011年</t>
    <phoneticPr fontId="9" type="noConversion"/>
  </si>
  <si>
    <t>2010年</t>
    <phoneticPr fontId="9" type="noConversion"/>
  </si>
  <si>
    <t>2009年</t>
    <phoneticPr fontId="9" type="noConversion"/>
  </si>
  <si>
    <t>2008年</t>
    <phoneticPr fontId="9" type="noConversion"/>
  </si>
  <si>
    <t>2007年</t>
    <phoneticPr fontId="9" type="noConversion"/>
  </si>
  <si>
    <t>2006年</t>
    <phoneticPr fontId="9" type="noConversion"/>
  </si>
  <si>
    <t>地区</t>
    <phoneticPr fontId="10" type="noConversion"/>
  </si>
  <si>
    <t>营业额（万）</t>
    <phoneticPr fontId="10" type="noConversion"/>
  </si>
  <si>
    <t>指标完成度</t>
    <phoneticPr fontId="10" type="noConversion"/>
  </si>
  <si>
    <t>北京</t>
    <phoneticPr fontId="10" type="noConversion"/>
  </si>
  <si>
    <t>上海</t>
    <phoneticPr fontId="10" type="noConversion"/>
  </si>
  <si>
    <t>广州</t>
    <phoneticPr fontId="10" type="noConversion"/>
  </si>
  <si>
    <t>深圳</t>
    <phoneticPr fontId="10" type="noConversion"/>
  </si>
  <si>
    <t>成都</t>
    <phoneticPr fontId="10" type="noConversion"/>
  </si>
  <si>
    <t>创建并美化柱形图</t>
    <phoneticPr fontId="1" type="noConversion"/>
  </si>
  <si>
    <t>1、了解主次坐标轴的概念</t>
    <phoneticPr fontId="1" type="noConversion"/>
  </si>
  <si>
    <t>2、制作折线与柱形符合图表</t>
    <phoneticPr fontId="1" type="noConversion"/>
  </si>
  <si>
    <t>3、制作计划与实际对比图</t>
    <phoneticPr fontId="1" type="noConversion"/>
  </si>
  <si>
    <t>4、制作双向柱形图</t>
    <phoneticPr fontId="1" type="noConversion"/>
  </si>
  <si>
    <t>图表通用设置</t>
    <phoneticPr fontId="1" type="noConversion"/>
  </si>
  <si>
    <t>1、利用复制粘贴更改数据系列显示样式</t>
    <phoneticPr fontId="1" type="noConversion"/>
  </si>
  <si>
    <t>2、巧用图表模版</t>
    <phoneticPr fontId="1" type="noConversion"/>
  </si>
  <si>
    <t>实际完成量</t>
    <phoneticPr fontId="1" type="noConversion"/>
  </si>
  <si>
    <t>分公司业绩与完成度对比图</t>
    <phoneticPr fontId="10" type="noConversion"/>
  </si>
  <si>
    <t xml:space="preserve">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</si>
</sst>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%"/>
  </numFmts>
  <fonts count="13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3" applyAlignme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>
      <alignment horizontal="center" vertical="center"/>
    </xf>
    <xf numFmtId="0" fontId="7" fillId="0" borderId="0" xfId="2" applyAlignment="1"/>
    <xf numFmtId="0" fontId="3" fillId="0" borderId="0" xfId="2" applyFont="1" applyAlignment="1"/>
    <xf numFmtId="176" fontId="7" fillId="0" borderId="0" xfId="2" applyNumberFormat="1" applyAlignment="1"/>
    <xf numFmtId="0" fontId="0" fillId="0" borderId="0" xfId="0" applyAlignment="1">
      <alignment horizontal="right"/>
    </xf>
    <xf numFmtId="9" fontId="0" fillId="0" borderId="0" xfId="1" applyFont="1" applyAlignment="1"/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77" fontId="10" fillId="0" borderId="2" xfId="1" applyNumberFormat="1" applyFont="1" applyBorder="1">
      <alignment vertical="center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7" fillId="0" borderId="0" xfId="0" applyFont="1"/>
  </cellXfs>
  <cellStyles count="4">
    <cellStyle name="百分比" xfId="1" builtinId="5"/>
    <cellStyle name="常规" xfId="0" builtinId="0"/>
    <cellStyle name="常规 2" xfId="2" xr:uid="{00000000-0005-0000-0000-000002000000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图表1!$B$1</c:f>
          <c:strCache>
            <c:ptCount val="1"/>
            <c:pt idx="0">
              <c:v>实际完成量</c:v>
            </c:pt>
          </c:strCache>
        </c:strRef>
      </c:tx>
      <c:overlay val="0"/>
      <c:spPr>
        <a:gradFill>
          <a:gsLst>
            <a:gs pos="5000">
              <a:schemeClr val="accent1">
                <a:lumMod val="2000"/>
                <a:lumOff val="98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76200" cmpd="sng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图表1!$B$1</c:f>
              <c:strCache>
                <c:ptCount val="1"/>
                <c:pt idx="0">
                  <c:v>实际完成量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图表1!$A$2:$A$9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图表1!$B$2:$B$9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6-416D-918D-0130F0DB0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831055"/>
        <c:axId val="142437135"/>
      </c:barChart>
      <c:catAx>
        <c:axId val="334831055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37135"/>
        <c:crosses val="autoZero"/>
        <c:auto val="1"/>
        <c:lblAlgn val="ctr"/>
        <c:lblOffset val="100"/>
        <c:noMultiLvlLbl val="0"/>
      </c:catAx>
      <c:valAx>
        <c:axId val="142437135"/>
        <c:scaling>
          <c:orientation val="minMax"/>
          <c:max val="150000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4831055"/>
        <c:crosses val="autoZero"/>
        <c:crossBetween val="between"/>
        <c:majorUnit val="300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图表2!$B$1</c:f>
              <c:strCache>
                <c:ptCount val="1"/>
                <c:pt idx="0">
                  <c:v>营业额（万）</c:v>
                </c:pt>
              </c:strCache>
            </c:strRef>
          </c:tx>
          <c:invertIfNegative val="0"/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图表2!$B$2:$B$6</c:f>
              <c:numCache>
                <c:formatCode>General</c:formatCode>
                <c:ptCount val="5"/>
                <c:pt idx="0">
                  <c:v>76</c:v>
                </c:pt>
                <c:pt idx="1">
                  <c:v>88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9-4CC2-A6D1-173A4100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492416"/>
        <c:axId val="398493952"/>
      </c:barChart>
      <c:lineChart>
        <c:grouping val="standard"/>
        <c:varyColors val="0"/>
        <c:ser>
          <c:idx val="1"/>
          <c:order val="1"/>
          <c:tx>
            <c:strRef>
              <c:f>图表2!$C$1</c:f>
              <c:strCache>
                <c:ptCount val="1"/>
                <c:pt idx="0">
                  <c:v>指标完成度</c:v>
                </c:pt>
              </c:strCache>
            </c:strRef>
          </c:tx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图表2!$C$2:$C$6</c:f>
              <c:numCache>
                <c:formatCode>0.0%</c:formatCode>
                <c:ptCount val="5"/>
                <c:pt idx="0">
                  <c:v>0.85699999999999998</c:v>
                </c:pt>
                <c:pt idx="1">
                  <c:v>0.89200000000000002</c:v>
                </c:pt>
                <c:pt idx="2">
                  <c:v>0.86399999999999999</c:v>
                </c:pt>
                <c:pt idx="3">
                  <c:v>0.95</c:v>
                </c:pt>
                <c:pt idx="4">
                  <c:v>0.92600000000000005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9-4CC2-A6D1-173A4100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612160"/>
        <c:axId val="401609856"/>
      </c:lineChart>
      <c:catAx>
        <c:axId val="398492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98493952"/>
        <c:crosses val="autoZero"/>
        <c:auto val="1"/>
        <c:lblAlgn val="ctr"/>
        <c:lblOffset val="100"/>
        <c:noMultiLvlLbl val="0"/>
      </c:catAx>
      <c:valAx>
        <c:axId val="39849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8492416"/>
        <c:crosses val="autoZero"/>
        <c:crossBetween val="between"/>
      </c:valAx>
      <c:valAx>
        <c:axId val="40160985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401612160"/>
        <c:crosses val="max"/>
        <c:crossBetween val="between"/>
      </c:valAx>
      <c:catAx>
        <c:axId val="40161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60985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 sz="1400" b="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 sz="1400" b="0">
                <a:latin typeface="微软雅黑" panose="020B0503020204020204" pitchFamily="34" charset="-122"/>
                <a:ea typeface="微软雅黑" panose="020B0503020204020204" pitchFamily="34" charset="-122"/>
              </a:rPr>
              <a:t>分公司业绩与完成度对比图</a:t>
            </a:r>
          </a:p>
        </c:rich>
      </c:tx>
      <c:layout>
        <c:manualLayout>
          <c:xMode val="edge"/>
          <c:yMode val="edge"/>
          <c:x val="7.100036975020392E-2"/>
          <c:y val="9.039547076403642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2291206143650297E-2"/>
          <c:y val="0.21296779342101849"/>
          <c:w val="0.85177780212874443"/>
          <c:h val="0.7183140637599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图表2!$B$1</c:f>
              <c:strCache>
                <c:ptCount val="1"/>
                <c:pt idx="0">
                  <c:v>营业额（万）</c:v>
                </c:pt>
              </c:strCache>
            </c:strRef>
          </c:tx>
          <c:spPr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FFC000"/>
                    </a:solidFill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图表2!$B$2:$B$6</c:f>
              <c:numCache>
                <c:formatCode>General</c:formatCode>
                <c:ptCount val="5"/>
                <c:pt idx="0">
                  <c:v>76</c:v>
                </c:pt>
                <c:pt idx="1">
                  <c:v>88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3-4420-AEA6-4754AA855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137152"/>
        <c:axId val="219139072"/>
      </c:barChart>
      <c:lineChart>
        <c:grouping val="standard"/>
        <c:varyColors val="0"/>
        <c:ser>
          <c:idx val="1"/>
          <c:order val="1"/>
          <c:tx>
            <c:strRef>
              <c:f>图表2!$C$1</c:f>
              <c:strCache>
                <c:ptCount val="1"/>
                <c:pt idx="0">
                  <c:v>指标完成度</c:v>
                </c:pt>
              </c:strCache>
            </c:strRef>
          </c:tx>
          <c:spPr>
            <a:ln>
              <a:solidFill>
                <a:schemeClr val="accent3">
                  <a:alpha val="97000"/>
                </a:schemeClr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92D050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图表2!$C$2:$C$6</c:f>
              <c:numCache>
                <c:formatCode>0.0%</c:formatCode>
                <c:ptCount val="5"/>
                <c:pt idx="0">
                  <c:v>0.85699999999999998</c:v>
                </c:pt>
                <c:pt idx="1">
                  <c:v>0.89200000000000002</c:v>
                </c:pt>
                <c:pt idx="2">
                  <c:v>0.86399999999999999</c:v>
                </c:pt>
                <c:pt idx="3">
                  <c:v>0.95</c:v>
                </c:pt>
                <c:pt idx="4">
                  <c:v>0.92600000000000005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3-4420-AEA6-4754AA855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813440"/>
        <c:axId val="239905408"/>
      </c:lineChart>
      <c:catAx>
        <c:axId val="219137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5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219139072"/>
        <c:crosses val="autoZero"/>
        <c:auto val="1"/>
        <c:lblAlgn val="ctr"/>
        <c:lblOffset val="100"/>
        <c:noMultiLvlLbl val="0"/>
      </c:catAx>
      <c:valAx>
        <c:axId val="219139072"/>
        <c:scaling>
          <c:orientation val="minMax"/>
          <c:max val="110"/>
          <c:min val="70"/>
        </c:scaling>
        <c:delete val="0"/>
        <c:axPos val="l"/>
        <c:majorGridlines>
          <c:spPr>
            <a:ln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219137152"/>
        <c:crosses val="autoZero"/>
        <c:crossBetween val="between"/>
        <c:majorUnit val="10"/>
      </c:valAx>
      <c:valAx>
        <c:axId val="239905408"/>
        <c:scaling>
          <c:orientation val="minMax"/>
          <c:max val="1.05"/>
          <c:min val="0.65000000000000013"/>
        </c:scaling>
        <c:delete val="0"/>
        <c:axPos val="r"/>
        <c:numFmt formatCode="0.0%" sourceLinked="1"/>
        <c:majorTickMark val="none"/>
        <c:minorTickMark val="none"/>
        <c:tickLblPos val="none"/>
        <c:spPr>
          <a:ln>
            <a:noFill/>
          </a:ln>
        </c:spPr>
        <c:crossAx val="378813440"/>
        <c:crosses val="max"/>
        <c:crossBetween val="between"/>
      </c:valAx>
      <c:catAx>
        <c:axId val="37881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9905408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7.2926659374192959E-2"/>
          <c:y val="0.26852772197551994"/>
          <c:w val="0.51434368057170943"/>
          <c:h val="5.0682592570572525E-2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图表2!$B$1</c:f>
              <c:strCache>
                <c:ptCount val="1"/>
                <c:pt idx="0">
                  <c:v>营业额（万）</c:v>
                </c:pt>
              </c:strCache>
            </c:strRef>
          </c:tx>
          <c:spPr>
            <a:solidFill>
              <a:schemeClr val="accent6"/>
            </a:solidFill>
            <a:ln w="44450">
              <a:noFill/>
            </a:ln>
            <a:effectLst/>
          </c:spPr>
          <c:invertIfNegative val="0"/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图表2!$B$2:$B$6</c:f>
              <c:numCache>
                <c:formatCode>General</c:formatCode>
                <c:ptCount val="5"/>
                <c:pt idx="0">
                  <c:v>76</c:v>
                </c:pt>
                <c:pt idx="1">
                  <c:v>88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A-4F36-A815-10DB1752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axId val="211958751"/>
        <c:axId val="211961151"/>
      </c:barChart>
      <c:lineChart>
        <c:grouping val="standard"/>
        <c:varyColors val="0"/>
        <c:ser>
          <c:idx val="1"/>
          <c:order val="1"/>
          <c:tx>
            <c:strRef>
              <c:f>图表2!$C$1</c:f>
              <c:strCache>
                <c:ptCount val="1"/>
                <c:pt idx="0">
                  <c:v>指标完成度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图表2!$C$2:$C$6</c:f>
              <c:numCache>
                <c:formatCode>0.0%</c:formatCode>
                <c:ptCount val="5"/>
                <c:pt idx="0">
                  <c:v>0.85699999999999998</c:v>
                </c:pt>
                <c:pt idx="1">
                  <c:v>0.89200000000000002</c:v>
                </c:pt>
                <c:pt idx="2">
                  <c:v>0.86399999999999999</c:v>
                </c:pt>
                <c:pt idx="3">
                  <c:v>0.95</c:v>
                </c:pt>
                <c:pt idx="4">
                  <c:v>0.92600000000000005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A-4F36-A815-10DB1752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301967"/>
        <c:axId val="585299087"/>
      </c:lineChart>
      <c:catAx>
        <c:axId val="21195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61151"/>
        <c:crosses val="autoZero"/>
        <c:auto val="1"/>
        <c:lblAlgn val="ctr"/>
        <c:lblOffset val="100"/>
        <c:noMultiLvlLbl val="0"/>
      </c:catAx>
      <c:valAx>
        <c:axId val="2119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  <a:alpha val="34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58751"/>
        <c:crosses val="autoZero"/>
        <c:crossBetween val="between"/>
      </c:valAx>
      <c:valAx>
        <c:axId val="585299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301967"/>
        <c:crosses val="max"/>
        <c:crossBetween val="between"/>
      </c:valAx>
      <c:catAx>
        <c:axId val="585301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299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>
                <a:solidFill>
                  <a:sysClr val="windowText" lastClr="000000"/>
                </a:solidFill>
              </a:rPr>
              <a:t>分公司业绩与完成度对比图</a:t>
            </a:r>
          </a:p>
        </c:rich>
      </c:tx>
      <c:layout>
        <c:manualLayout>
          <c:xMode val="edge"/>
          <c:yMode val="edge"/>
          <c:x val="6.8352220055261981E-2"/>
          <c:y val="6.8602542795562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1338589084659476E-2"/>
          <c:y val="0.20599849110417681"/>
          <c:w val="0.92007872776965838"/>
          <c:h val="0.73324194330256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图表2!$B$1</c:f>
              <c:strCache>
                <c:ptCount val="1"/>
                <c:pt idx="0">
                  <c:v>营业额（万）</c:v>
                </c:pt>
              </c:strCache>
            </c:strRef>
          </c:tx>
          <c:spPr>
            <a:solidFill>
              <a:schemeClr val="accent6"/>
            </a:solidFill>
            <a:ln w="444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图表2!$B$2:$B$6</c:f>
              <c:numCache>
                <c:formatCode>General</c:formatCode>
                <c:ptCount val="5"/>
                <c:pt idx="0">
                  <c:v>76</c:v>
                </c:pt>
                <c:pt idx="1">
                  <c:v>88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F-4BC4-9AA3-735E5E085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axId val="211958751"/>
        <c:axId val="211961151"/>
      </c:barChart>
      <c:lineChart>
        <c:grouping val="standard"/>
        <c:varyColors val="0"/>
        <c:ser>
          <c:idx val="1"/>
          <c:order val="1"/>
          <c:tx>
            <c:strRef>
              <c:f>图表2!$C$1</c:f>
              <c:strCache>
                <c:ptCount val="1"/>
                <c:pt idx="0">
                  <c:v>指标完成度</c:v>
                </c:pt>
              </c:strCache>
            </c:strRef>
          </c:tx>
          <c:spPr>
            <a:ln w="444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图表2!$A$2:$A$6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图表2!$C$2:$C$6</c:f>
              <c:numCache>
                <c:formatCode>0.0%</c:formatCode>
                <c:ptCount val="5"/>
                <c:pt idx="0">
                  <c:v>0.85699999999999998</c:v>
                </c:pt>
                <c:pt idx="1">
                  <c:v>0.89200000000000002</c:v>
                </c:pt>
                <c:pt idx="2">
                  <c:v>0.86399999999999999</c:v>
                </c:pt>
                <c:pt idx="3">
                  <c:v>0.95</c:v>
                </c:pt>
                <c:pt idx="4">
                  <c:v>0.92600000000000005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8F-4BC4-9AA3-735E5E085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301967"/>
        <c:axId val="585299087"/>
      </c:lineChart>
      <c:catAx>
        <c:axId val="21195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1961151"/>
        <c:crosses val="autoZero"/>
        <c:auto val="1"/>
        <c:lblAlgn val="ctr"/>
        <c:lblOffset val="100"/>
        <c:noMultiLvlLbl val="0"/>
      </c:catAx>
      <c:valAx>
        <c:axId val="211961151"/>
        <c:scaling>
          <c:orientation val="minMax"/>
          <c:max val="110"/>
          <c:min val="7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63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1958751"/>
        <c:crosses val="autoZero"/>
        <c:crossBetween val="between"/>
        <c:majorUnit val="10"/>
      </c:valAx>
      <c:valAx>
        <c:axId val="585299087"/>
        <c:scaling>
          <c:orientation val="minMax"/>
          <c:max val="1.05"/>
          <c:min val="0.65000000000000013"/>
        </c:scaling>
        <c:delete val="0"/>
        <c:axPos val="r"/>
        <c:numFmt formatCode="0.0%" sourceLinked="1"/>
        <c:majorTickMark val="none"/>
        <c:minorTickMark val="none"/>
        <c:tickLblPos val="none"/>
        <c:spPr>
          <a:noFill/>
          <a:ln w="63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585301967"/>
        <c:crosses val="max"/>
        <c:crossBetween val="between"/>
        <c:majorUnit val="0.1"/>
      </c:valAx>
      <c:catAx>
        <c:axId val="585301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299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15320318983741"/>
          <c:y val="0.22664247471719207"/>
          <c:w val="0.41885812884331985"/>
          <c:h val="4.5417724264193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b="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zh-CN" altLang="en-US"/>
              <a:t>指标完成度</a:t>
            </a:r>
          </a:p>
        </c:rich>
      </c:tx>
      <c:layout>
        <c:manualLayout>
          <c:xMode val="edge"/>
          <c:yMode val="edge"/>
          <c:x val="1.7117535249502058E-2"/>
          <c:y val="6.726012695216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81590809761093"/>
          <c:y val="0.23806642493624189"/>
          <c:w val="0.85896298251362146"/>
          <c:h val="0.6396567826939163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图表3!$C$1</c:f>
              <c:strCache>
                <c:ptCount val="1"/>
                <c:pt idx="0">
                  <c:v>实际完成</c:v>
                </c:pt>
              </c:strCache>
            </c:strRef>
          </c:tx>
          <c:spPr>
            <a:solidFill>
              <a:schemeClr val="accent3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图表3!$A$2:$A$9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图表3!$C$2:$C$9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3-48C6-B173-2B0653FEA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120064"/>
        <c:axId val="158822784"/>
      </c:barChart>
      <c:barChart>
        <c:barDir val="col"/>
        <c:grouping val="clustered"/>
        <c:varyColors val="0"/>
        <c:ser>
          <c:idx val="0"/>
          <c:order val="0"/>
          <c:tx>
            <c:strRef>
              <c:f>图表3!$B$1</c:f>
              <c:strCache>
                <c:ptCount val="1"/>
                <c:pt idx="0">
                  <c:v>计划完成</c:v>
                </c:pt>
              </c:strCache>
            </c:strRef>
          </c:tx>
          <c:spPr>
            <a:noFill/>
            <a:ln w="38100">
              <a:solidFill>
                <a:schemeClr val="accent6">
                  <a:lumMod val="75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图表3!$A$2:$A$9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图表3!$B$2:$B$9</c:f>
              <c:numCache>
                <c:formatCode>General</c:formatCode>
                <c:ptCount val="8"/>
                <c:pt idx="0">
                  <c:v>6000000</c:v>
                </c:pt>
                <c:pt idx="1">
                  <c:v>3000000</c:v>
                </c:pt>
                <c:pt idx="2">
                  <c:v>3000000</c:v>
                </c:pt>
                <c:pt idx="3">
                  <c:v>4000000</c:v>
                </c:pt>
                <c:pt idx="4">
                  <c:v>6000000</c:v>
                </c:pt>
                <c:pt idx="5">
                  <c:v>6000000</c:v>
                </c:pt>
                <c:pt idx="6">
                  <c:v>6000000</c:v>
                </c:pt>
                <c:pt idx="7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3-48C6-B173-2B0653FEA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24704"/>
        <c:axId val="161941376"/>
      </c:barChart>
      <c:catAx>
        <c:axId val="10212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158822784"/>
        <c:crosses val="autoZero"/>
        <c:auto val="1"/>
        <c:lblAlgn val="ctr"/>
        <c:lblOffset val="100"/>
        <c:noMultiLvlLbl val="0"/>
      </c:catAx>
      <c:valAx>
        <c:axId val="158822784"/>
        <c:scaling>
          <c:orientation val="minMax"/>
        </c:scaling>
        <c:delete val="0"/>
        <c:axPos val="l"/>
        <c:numFmt formatCode="#,,&quot;百万&quot;;;0" sourceLinked="0"/>
        <c:majorTickMark val="out"/>
        <c:minorTickMark val="none"/>
        <c:tickLblPos val="nextTo"/>
        <c:crossAx val="102120064"/>
        <c:crosses val="autoZero"/>
        <c:crossBetween val="between"/>
      </c:valAx>
      <c:catAx>
        <c:axId val="158824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941376"/>
        <c:crosses val="autoZero"/>
        <c:auto val="1"/>
        <c:lblAlgn val="ctr"/>
        <c:lblOffset val="100"/>
        <c:noMultiLvlLbl val="0"/>
      </c:catAx>
      <c:valAx>
        <c:axId val="161941376"/>
        <c:scaling>
          <c:orientation val="minMax"/>
          <c:max val="9000000"/>
        </c:scaling>
        <c:delete val="1"/>
        <c:axPos val="r"/>
        <c:numFmt formatCode="General" sourceLinked="1"/>
        <c:majorTickMark val="out"/>
        <c:minorTickMark val="none"/>
        <c:tickLblPos val="nextTo"/>
        <c:crossAx val="158824704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图表3!$B$1</c:f>
              <c:strCache>
                <c:ptCount val="1"/>
                <c:pt idx="0">
                  <c:v>计划完成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图表3!$A$2:$A$9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图表3!$B$2:$B$9</c:f>
              <c:numCache>
                <c:formatCode>General</c:formatCode>
                <c:ptCount val="8"/>
                <c:pt idx="0">
                  <c:v>6000000</c:v>
                </c:pt>
                <c:pt idx="1">
                  <c:v>3000000</c:v>
                </c:pt>
                <c:pt idx="2">
                  <c:v>3000000</c:v>
                </c:pt>
                <c:pt idx="3">
                  <c:v>4000000</c:v>
                </c:pt>
                <c:pt idx="4">
                  <c:v>6000000</c:v>
                </c:pt>
                <c:pt idx="5">
                  <c:v>6000000</c:v>
                </c:pt>
                <c:pt idx="6">
                  <c:v>6000000</c:v>
                </c:pt>
                <c:pt idx="7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E-4A62-8351-474EE3720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370400"/>
        <c:axId val="1405352160"/>
      </c:barChart>
      <c:barChart>
        <c:barDir val="col"/>
        <c:grouping val="clustered"/>
        <c:varyColors val="0"/>
        <c:ser>
          <c:idx val="1"/>
          <c:order val="1"/>
          <c:tx>
            <c:strRef>
              <c:f>图表3!$C$1</c:f>
              <c:strCache>
                <c:ptCount val="1"/>
                <c:pt idx="0">
                  <c:v>实际完成</c:v>
                </c:pt>
              </c:strCache>
            </c:strRef>
          </c:tx>
          <c:spPr>
            <a:noFill/>
            <a:ln w="34925">
              <a:solidFill>
                <a:schemeClr val="accent6"/>
              </a:solidFill>
            </a:ln>
            <a:effectLst/>
          </c:spPr>
          <c:invertIfNegative val="0"/>
          <c:cat>
            <c:strRef>
              <c:f>图表3!$A$2:$A$9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图表3!$C$2:$C$9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E-4A62-8351-474EE3720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391520"/>
        <c:axId val="1405379040"/>
      </c:barChart>
      <c:catAx>
        <c:axId val="14053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352160"/>
        <c:crosses val="autoZero"/>
        <c:auto val="1"/>
        <c:lblAlgn val="ctr"/>
        <c:lblOffset val="100"/>
        <c:noMultiLvlLbl val="0"/>
      </c:catAx>
      <c:valAx>
        <c:axId val="1405352160"/>
        <c:scaling>
          <c:orientation val="minMax"/>
          <c:max val="900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370400"/>
        <c:crosses val="autoZero"/>
        <c:crossBetween val="between"/>
      </c:valAx>
      <c:valAx>
        <c:axId val="1405379040"/>
        <c:scaling>
          <c:orientation val="minMax"/>
        </c:scaling>
        <c:delete val="0"/>
        <c:axPos val="r"/>
        <c:numFmt formatCode="0.0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391520"/>
        <c:crosses val="max"/>
        <c:crossBetween val="between"/>
      </c:valAx>
      <c:catAx>
        <c:axId val="1405391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53790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历年出口与内销对比图</a:t>
            </a:r>
          </a:p>
        </c:rich>
      </c:tx>
      <c:layout>
        <c:manualLayout>
          <c:xMode val="edge"/>
          <c:yMode val="edge"/>
          <c:x val="2.1568671550199755E-2"/>
          <c:y val="2.24403894025997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280247293059728E-2"/>
          <c:y val="0.26171840298808802"/>
          <c:w val="0.83816146667395675"/>
          <c:h val="0.66750656136145814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图表4!$C$1</c:f>
              <c:strCache>
                <c:ptCount val="1"/>
                <c:pt idx="0">
                  <c:v>内销</c:v>
                </c:pt>
              </c:strCache>
            </c:strRef>
          </c:tx>
          <c:spPr>
            <a:solidFill>
              <a:srgbClr val="C00000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图表4!$A$2:$A$7</c:f>
              <c:strCache>
                <c:ptCount val="6"/>
                <c:pt idx="0">
                  <c:v>2011年</c:v>
                </c:pt>
                <c:pt idx="1">
                  <c:v>2010年</c:v>
                </c:pt>
                <c:pt idx="2">
                  <c:v>2009年</c:v>
                </c:pt>
                <c:pt idx="3">
                  <c:v>2008年</c:v>
                </c:pt>
                <c:pt idx="4">
                  <c:v>2007年</c:v>
                </c:pt>
                <c:pt idx="5">
                  <c:v>2006年</c:v>
                </c:pt>
              </c:strCache>
            </c:strRef>
          </c:cat>
          <c:val>
            <c:numRef>
              <c:f>图表4!$C$2:$C$7</c:f>
              <c:numCache>
                <c:formatCode>0%</c:formatCode>
                <c:ptCount val="6"/>
                <c:pt idx="0">
                  <c:v>0.67999999999999994</c:v>
                </c:pt>
                <c:pt idx="1">
                  <c:v>0.44999999999999996</c:v>
                </c:pt>
                <c:pt idx="2">
                  <c:v>0.4</c:v>
                </c:pt>
                <c:pt idx="3">
                  <c:v>0.27</c:v>
                </c:pt>
                <c:pt idx="4">
                  <c:v>0.18000000000000005</c:v>
                </c:pt>
                <c:pt idx="5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9-46B5-BA1C-35DE46137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45104512"/>
        <c:axId val="45111168"/>
      </c:barChart>
      <c:barChart>
        <c:barDir val="bar"/>
        <c:grouping val="clustered"/>
        <c:varyColors val="0"/>
        <c:ser>
          <c:idx val="0"/>
          <c:order val="0"/>
          <c:tx>
            <c:strRef>
              <c:f>图表4!$B$1</c:f>
              <c:strCache>
                <c:ptCount val="1"/>
                <c:pt idx="0">
                  <c:v>出口</c:v>
                </c:pt>
              </c:strCache>
            </c:strRef>
          </c:tx>
          <c:spPr>
            <a:solidFill>
              <a:srgbClr val="00B050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图表4!$A$2:$A$7</c:f>
              <c:strCache>
                <c:ptCount val="6"/>
                <c:pt idx="0">
                  <c:v>2011年</c:v>
                </c:pt>
                <c:pt idx="1">
                  <c:v>2010年</c:v>
                </c:pt>
                <c:pt idx="2">
                  <c:v>2009年</c:v>
                </c:pt>
                <c:pt idx="3">
                  <c:v>2008年</c:v>
                </c:pt>
                <c:pt idx="4">
                  <c:v>2007年</c:v>
                </c:pt>
                <c:pt idx="5">
                  <c:v>2006年</c:v>
                </c:pt>
              </c:strCache>
            </c:strRef>
          </c:cat>
          <c:val>
            <c:numRef>
              <c:f>图表4!$B$2:$B$7</c:f>
              <c:numCache>
                <c:formatCode>0%</c:formatCode>
                <c:ptCount val="6"/>
                <c:pt idx="0">
                  <c:v>0.32</c:v>
                </c:pt>
                <c:pt idx="1">
                  <c:v>0.55000000000000004</c:v>
                </c:pt>
                <c:pt idx="2">
                  <c:v>0.6</c:v>
                </c:pt>
                <c:pt idx="3">
                  <c:v>0.73</c:v>
                </c:pt>
                <c:pt idx="4">
                  <c:v>0.82</c:v>
                </c:pt>
                <c:pt idx="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9-46B5-BA1C-35DE46137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220325376"/>
        <c:axId val="200050176"/>
      </c:barChart>
      <c:catAx>
        <c:axId val="45104512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low"/>
        <c:spPr>
          <a:ln w="25400"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45111168"/>
        <c:crossesAt val="0"/>
        <c:auto val="1"/>
        <c:lblAlgn val="ctr"/>
        <c:lblOffset val="100"/>
        <c:noMultiLvlLbl val="0"/>
      </c:catAx>
      <c:valAx>
        <c:axId val="45111168"/>
        <c:scaling>
          <c:orientation val="maxMin"/>
          <c:max val="1"/>
          <c:min val="-1"/>
        </c:scaling>
        <c:delete val="0"/>
        <c:axPos val="b"/>
        <c:numFmt formatCode="0%;0%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45104512"/>
        <c:crosses val="autoZero"/>
        <c:crossBetween val="between"/>
        <c:majorUnit val="0.25"/>
      </c:valAx>
      <c:valAx>
        <c:axId val="200050176"/>
        <c:scaling>
          <c:orientation val="minMax"/>
          <c:max val="1"/>
          <c:min val="-1"/>
        </c:scaling>
        <c:delete val="1"/>
        <c:axPos val="t"/>
        <c:numFmt formatCode="0%" sourceLinked="1"/>
        <c:majorTickMark val="out"/>
        <c:minorTickMark val="none"/>
        <c:tickLblPos val="nextTo"/>
        <c:crossAx val="220325376"/>
        <c:crosses val="max"/>
        <c:crossBetween val="between"/>
      </c:valAx>
      <c:catAx>
        <c:axId val="220325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0050176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t"/>
      <c:layout>
        <c:manualLayout>
          <c:xMode val="edge"/>
          <c:yMode val="edge"/>
          <c:x val="1.4939658821256497E-2"/>
          <c:y val="0.13987842727620498"/>
          <c:w val="0.19200739502795369"/>
          <c:h val="7.2985232906492753E-2"/>
        </c:manualLayout>
      </c:layout>
      <c:overlay val="0"/>
      <c:txPr>
        <a:bodyPr/>
        <a:lstStyle/>
        <a:p>
          <a:pPr>
            <a:defRPr sz="12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effectLst/>
          </c:spPr>
          <c:invertIfNegative val="0"/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8-4399-8401-4CE5D1657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283392"/>
        <c:axId val="239867008"/>
      </c:barChart>
      <c:catAx>
        <c:axId val="21828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9867008"/>
        <c:crosses val="autoZero"/>
        <c:auto val="1"/>
        <c:lblAlgn val="ctr"/>
        <c:lblOffset val="100"/>
        <c:noMultiLvlLbl val="0"/>
      </c:catAx>
      <c:valAx>
        <c:axId val="239867008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crossAx val="218283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满意度图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effectLst/>
          </c:spPr>
          <c:invertIfNegative val="0"/>
          <c:pictureOptions>
            <c:pictureFormat val="stack"/>
          </c:pictureOptions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7-4ED8-B4F2-F92FC1E8C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388850816"/>
        <c:axId val="388852352"/>
      </c:barChart>
      <c:catAx>
        <c:axId val="3888508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388852352"/>
        <c:crosses val="autoZero"/>
        <c:auto val="1"/>
        <c:lblAlgn val="ctr"/>
        <c:lblOffset val="100"/>
        <c:noMultiLvlLbl val="0"/>
      </c:catAx>
      <c:valAx>
        <c:axId val="388852352"/>
        <c:scaling>
          <c:orientation val="minMax"/>
        </c:scaling>
        <c:delete val="0"/>
        <c:axPos val="b"/>
        <c:numFmt formatCode="0.0_ " sourceLinked="1"/>
        <c:majorTickMark val="out"/>
        <c:minorTickMark val="none"/>
        <c:tickLblPos val="nextTo"/>
        <c:crossAx val="388850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对比图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effectLst/>
          </c:spPr>
          <c:invertIfNegative val="0"/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9-4BE0-B056-3A30D2722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879488"/>
        <c:axId val="388881024"/>
      </c:barChart>
      <c:catAx>
        <c:axId val="38887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8881024"/>
        <c:crosses val="autoZero"/>
        <c:auto val="1"/>
        <c:lblAlgn val="ctr"/>
        <c:lblOffset val="100"/>
        <c:noMultiLvlLbl val="0"/>
      </c:catAx>
      <c:valAx>
        <c:axId val="388881024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crossAx val="388879488"/>
        <c:crosses val="autoZero"/>
        <c:crossBetween val="between"/>
      </c:valAx>
    </c:plotArea>
    <c:plotVisOnly val="1"/>
    <c:dispBlanksAs val="gap"/>
    <c:showDLblsOverMax val="0"/>
  </c:chart>
  <c:spPr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effectLst/>
          </c:spPr>
          <c:invertIfNegative val="0"/>
          <c:pictureOptions>
            <c:pictureFormat val="stack"/>
          </c:pictureOptions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D-4802-92E5-D52EAE2E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384991232"/>
        <c:axId val="385010688"/>
      </c:barChart>
      <c:catAx>
        <c:axId val="38499123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385010688"/>
        <c:crosses val="autoZero"/>
        <c:auto val="1"/>
        <c:lblAlgn val="ctr"/>
        <c:lblOffset val="100"/>
        <c:noMultiLvlLbl val="0"/>
      </c:catAx>
      <c:valAx>
        <c:axId val="385010688"/>
        <c:scaling>
          <c:orientation val="minMax"/>
        </c:scaling>
        <c:delete val="0"/>
        <c:axPos val="b"/>
        <c:numFmt formatCode="0.0_ " sourceLinked="1"/>
        <c:majorTickMark val="out"/>
        <c:minorTickMark val="none"/>
        <c:tickLblPos val="nextTo"/>
        <c:crossAx val="384991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6-413C-92C3-ADD9DB55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212699008"/>
        <c:axId val="212714240"/>
      </c:barChart>
      <c:catAx>
        <c:axId val="21269900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12714240"/>
        <c:crosses val="autoZero"/>
        <c:auto val="1"/>
        <c:lblAlgn val="ctr"/>
        <c:lblOffset val="100"/>
        <c:noMultiLvlLbl val="0"/>
      </c:catAx>
      <c:valAx>
        <c:axId val="212714240"/>
        <c:scaling>
          <c:orientation val="minMax"/>
        </c:scaling>
        <c:delete val="0"/>
        <c:axPos val="b"/>
        <c:numFmt formatCode="0.0_ " sourceLinked="1"/>
        <c:majorTickMark val="out"/>
        <c:minorTickMark val="none"/>
        <c:tickLblPos val="nextTo"/>
        <c:crossAx val="212699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effectLst/>
          </c:spPr>
          <c:invertIfNegative val="0"/>
          <c:pictureOptions>
            <c:pictureFormat val="stack"/>
          </c:pictureOptions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9-4BF4-B56E-F61BD9F0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429382656"/>
        <c:axId val="237675264"/>
      </c:barChart>
      <c:catAx>
        <c:axId val="4293826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37675264"/>
        <c:crosses val="autoZero"/>
        <c:auto val="1"/>
        <c:lblAlgn val="ctr"/>
        <c:lblOffset val="100"/>
        <c:noMultiLvlLbl val="0"/>
      </c:catAx>
      <c:valAx>
        <c:axId val="237675264"/>
        <c:scaling>
          <c:orientation val="minMax"/>
        </c:scaling>
        <c:delete val="0"/>
        <c:axPos val="b"/>
        <c:numFmt formatCode="0.0_ " sourceLinked="1"/>
        <c:majorTickMark val="out"/>
        <c:minorTickMark val="none"/>
        <c:tickLblPos val="nextTo"/>
        <c:crossAx val="42938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图表5!$B$1</c:f>
              <c:strCache>
                <c:ptCount val="1"/>
                <c:pt idx="0">
                  <c:v>实际完成</c:v>
                </c:pt>
              </c:strCache>
            </c:strRef>
          </c:tx>
          <c:spPr>
            <a:effectLst/>
          </c:spPr>
          <c:invertIfNegative val="0"/>
          <c:cat>
            <c:strRef>
              <c:f>图表5!$A$2:$A$9</c:f>
              <c:strCache>
                <c:ptCount val="8"/>
                <c:pt idx="0">
                  <c:v>白桦</c:v>
                </c:pt>
                <c:pt idx="1">
                  <c:v>冯文</c:v>
                </c:pt>
                <c:pt idx="2">
                  <c:v>蒋波</c:v>
                </c:pt>
                <c:pt idx="3">
                  <c:v>刘辉</c:v>
                </c:pt>
                <c:pt idx="4">
                  <c:v>熊牧</c:v>
                </c:pt>
                <c:pt idx="5">
                  <c:v>张明</c:v>
                </c:pt>
                <c:pt idx="6">
                  <c:v>赵温江</c:v>
                </c:pt>
                <c:pt idx="7">
                  <c:v>郑浪</c:v>
                </c:pt>
              </c:strCache>
            </c:strRef>
          </c:cat>
          <c:val>
            <c:numRef>
              <c:f>图表5!$B$2:$B$9</c:f>
              <c:numCache>
                <c:formatCode>0.0_ </c:formatCode>
                <c:ptCount val="8"/>
                <c:pt idx="0">
                  <c:v>5683855.425752</c:v>
                </c:pt>
                <c:pt idx="1">
                  <c:v>3265431.6595807001</c:v>
                </c:pt>
                <c:pt idx="2">
                  <c:v>3409189.5220972998</c:v>
                </c:pt>
                <c:pt idx="3">
                  <c:v>3677803.2499810602</c:v>
                </c:pt>
                <c:pt idx="4">
                  <c:v>8330937.8716042545</c:v>
                </c:pt>
                <c:pt idx="5">
                  <c:v>6101319.8145869402</c:v>
                </c:pt>
                <c:pt idx="6">
                  <c:v>6848837.1477062004</c:v>
                </c:pt>
                <c:pt idx="7">
                  <c:v>4270089.9468275001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F-4051-B817-E8A99AE44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273057664"/>
        <c:axId val="273072128"/>
      </c:barChart>
      <c:catAx>
        <c:axId val="27305766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73072128"/>
        <c:crosses val="autoZero"/>
        <c:auto val="1"/>
        <c:lblAlgn val="ctr"/>
        <c:lblOffset val="100"/>
        <c:noMultiLvlLbl val="0"/>
      </c:catAx>
      <c:valAx>
        <c:axId val="273072128"/>
        <c:scaling>
          <c:orientation val="minMax"/>
        </c:scaling>
        <c:delete val="0"/>
        <c:axPos val="b"/>
        <c:numFmt formatCode="0.0_ " sourceLinked="1"/>
        <c:majorTickMark val="out"/>
        <c:minorTickMark val="none"/>
        <c:tickLblPos val="nextTo"/>
        <c:crossAx val="273057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28575</xdr:rowOff>
    </xdr:from>
    <xdr:to>
      <xdr:col>7</xdr:col>
      <xdr:colOff>247286</xdr:colOff>
      <xdr:row>7</xdr:row>
      <xdr:rowOff>2013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28575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32" name="图片 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571500</xdr:colOff>
      <xdr:row>10</xdr:row>
      <xdr:rowOff>47625</xdr:rowOff>
    </xdr:from>
    <xdr:to>
      <xdr:col>5</xdr:col>
      <xdr:colOff>190500</xdr:colOff>
      <xdr:row>16</xdr:row>
      <xdr:rowOff>104775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19275"/>
          <a:ext cx="3638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3</xdr:row>
      <xdr:rowOff>41275</xdr:rowOff>
    </xdr:from>
    <xdr:to>
      <xdr:col>9</xdr:col>
      <xdr:colOff>377825</xdr:colOff>
      <xdr:row>17</xdr:row>
      <xdr:rowOff>117475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38EBB5-2FC7-7E14-4995-767F73B3A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630747</xdr:colOff>
      <xdr:row>1</xdr:row>
      <xdr:rowOff>108824</xdr:rowOff>
    </xdr:from>
    <xdr:to>
      <xdr:col>16</xdr:col>
      <xdr:colOff>606935</xdr:colOff>
      <xdr:row>16</xdr:row>
      <xdr:rowOff>137398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516225</xdr:colOff>
      <xdr:row>26</xdr:row>
      <xdr:rowOff>110114</xdr:rowOff>
    </xdr:from>
    <xdr:to>
      <xdr:col>19</xdr:col>
      <xdr:colOff>449118</xdr:colOff>
      <xdr:row>52</xdr:row>
      <xdr:rowOff>181552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381000</xdr:colOff>
      <xdr:row>2</xdr:row>
      <xdr:rowOff>73957</xdr:rowOff>
    </xdr:from>
    <xdr:to>
      <xdr:col>8</xdr:col>
      <xdr:colOff>201706</xdr:colOff>
      <xdr:row>16</xdr:row>
      <xdr:rowOff>119528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58C2E86-6095-E43B-8048-9B7953B98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163286</xdr:colOff>
      <xdr:row>26</xdr:row>
      <xdr:rowOff>154214</xdr:rowOff>
    </xdr:from>
    <xdr:to>
      <xdr:col>12</xdr:col>
      <xdr:colOff>136071</xdr:colOff>
      <xdr:row>53</xdr:row>
      <xdr:rowOff>9071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E9D7894-E449-4034-A5F8-59C57C545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469767</xdr:colOff>
      <xdr:row>1</xdr:row>
      <xdr:rowOff>184095</xdr:rowOff>
    </xdr:from>
    <xdr:to>
      <xdr:col>16</xdr:col>
      <xdr:colOff>275346</xdr:colOff>
      <xdr:row>21</xdr:row>
      <xdr:rowOff>150478</xdr:rowOff>
    </xdr:to>
    <xdr:graphicFrame macro="">
      <xdr:nvGraphicFramePr>
        <xdr:cNvPr id="2050" name="图表 1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217714</xdr:colOff>
      <xdr:row>5</xdr:row>
      <xdr:rowOff>63500</xdr:rowOff>
    </xdr:from>
    <xdr:to>
      <xdr:col>8</xdr:col>
      <xdr:colOff>294820</xdr:colOff>
      <xdr:row>25</xdr:row>
      <xdr:rowOff>108858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6D35A24-0F8F-AC88-3C7D-F073B78EB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47626</xdr:colOff>
      <xdr:row>2</xdr:row>
      <xdr:rowOff>46117</xdr:rowOff>
    </xdr:from>
    <xdr:to>
      <xdr:col>16</xdr:col>
      <xdr:colOff>542926</xdr:colOff>
      <xdr:row>9</xdr:row>
      <xdr:rowOff>77012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6" y="408067"/>
          <a:ext cx="2552700" cy="129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233362</xdr:colOff>
      <xdr:row>2</xdr:row>
      <xdr:rowOff>114300</xdr:rowOff>
    </xdr:from>
    <xdr:to>
      <xdr:col>12</xdr:col>
      <xdr:colOff>158750</xdr:colOff>
      <xdr:row>23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57151</xdr:colOff>
      <xdr:row>0</xdr:row>
      <xdr:rowOff>85725</xdr:rowOff>
    </xdr:from>
    <xdr:to>
      <xdr:col>15</xdr:col>
      <xdr:colOff>361951</xdr:colOff>
      <xdr:row>15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400050</xdr:colOff>
      <xdr:row>16</xdr:row>
      <xdr:rowOff>104775</xdr:rowOff>
    </xdr:from>
    <xdr:to>
      <xdr:col>7</xdr:col>
      <xdr:colOff>495300</xdr:colOff>
      <xdr:row>31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85725</xdr:colOff>
      <xdr:row>6</xdr:row>
      <xdr:rowOff>133350</xdr:rowOff>
    </xdr:from>
    <xdr:to>
      <xdr:col>8</xdr:col>
      <xdr:colOff>514350</xdr:colOff>
      <xdr:row>10</xdr:row>
      <xdr:rowOff>114300</xdr:rowOff>
    </xdr:to>
    <xdr:sp macro="" textlink="">
      <xdr:nvSpPr>
        <xdr:cNvPr id="5" name="等腰三角形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772150" y="1219200"/>
          <a:ext cx="428625" cy="704850"/>
        </a:xfrm>
        <a:prstGeom prst="triangl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381000</xdr:colOff>
      <xdr:row>0</xdr:row>
      <xdr:rowOff>57150</xdr:rowOff>
    </xdr:from>
    <xdr:to>
      <xdr:col>7</xdr:col>
      <xdr:colOff>500064</xdr:colOff>
      <xdr:row>15</xdr:row>
      <xdr:rowOff>85725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33</xdr:row>
      <xdr:rowOff>19050</xdr:rowOff>
    </xdr:from>
    <xdr:to>
      <xdr:col>7</xdr:col>
      <xdr:colOff>485775</xdr:colOff>
      <xdr:row>48</xdr:row>
      <xdr:rowOff>47625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85725</xdr:colOff>
      <xdr:row>16</xdr:row>
      <xdr:rowOff>142875</xdr:rowOff>
    </xdr:from>
    <xdr:to>
      <xdr:col>15</xdr:col>
      <xdr:colOff>381000</xdr:colOff>
      <xdr:row>31</xdr:row>
      <xdr:rowOff>171450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638175</xdr:colOff>
      <xdr:row>16</xdr:row>
      <xdr:rowOff>142875</xdr:rowOff>
    </xdr:from>
    <xdr:to>
      <xdr:col>22</xdr:col>
      <xdr:colOff>247650</xdr:colOff>
      <xdr:row>31</xdr:row>
      <xdr:rowOff>171450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109538</xdr:colOff>
      <xdr:row>18</xdr:row>
      <xdr:rowOff>9525</xdr:rowOff>
    </xdr:from>
    <xdr:to>
      <xdr:col>8</xdr:col>
      <xdr:colOff>557213</xdr:colOff>
      <xdr:row>20</xdr:row>
      <xdr:rowOff>28575</xdr:rowOff>
    </xdr:to>
    <xdr:sp macro="" textlink="">
      <xdr:nvSpPr>
        <xdr:cNvPr id="8" name="心形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795963" y="3267075"/>
          <a:ext cx="447675" cy="381000"/>
        </a:xfrm>
        <a:prstGeom prst="hear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409575</xdr:colOff>
      <xdr:row>49</xdr:row>
      <xdr:rowOff>85725</xdr:rowOff>
    </xdr:from>
    <xdr:to>
      <xdr:col>7</xdr:col>
      <xdr:colOff>504825</xdr:colOff>
      <xdr:row>64</xdr:row>
      <xdr:rowOff>114300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621345</xdr:colOff>
      <xdr:row>36</xdr:row>
      <xdr:rowOff>104775</xdr:rowOff>
    </xdr:from>
    <xdr:to>
      <xdr:col>9</xdr:col>
      <xdr:colOff>118115</xdr:colOff>
      <xdr:row>45</xdr:row>
      <xdr:rowOff>160183</xdr:rowOff>
    </xdr:to>
    <xdr:grpSp>
      <xdr:nvGrpSpPr>
        <xdr:cNvPr id="15" name="组合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pSpPr/>
      </xdr:nvGrpSpPr>
      <xdr:grpSpPr>
        <a:xfrm>
          <a:off x="5466395" y="6962775"/>
          <a:ext cx="817570" cy="1769908"/>
          <a:chOff x="2250202" y="1976505"/>
          <a:chExt cx="1214280" cy="2355066"/>
        </a:xfrm>
      </xdr:grpSpPr>
      <xdr:grpSp>
        <xdr:nvGrpSpPr>
          <xdr:cNvPr id="20" name="Group 4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2331401" y="1976505"/>
            <a:ext cx="1051875" cy="2355066"/>
            <a:chOff x="1459" y="1567"/>
            <a:chExt cx="519" cy="1162"/>
          </a:xfrm>
          <a:solidFill>
            <a:schemeClr val="tx1"/>
          </a:solidFill>
        </xdr:grpSpPr>
        <xdr:sp macro="" textlink="">
          <xdr:nvSpPr>
            <xdr:cNvPr id="23" name="Oval 5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615" y="1567"/>
              <a:ext cx="218" cy="200"/>
            </a:xfrm>
            <a:prstGeom prst="ellipse">
              <a:avLst/>
            </a:prstGeom>
            <a:solidFill>
              <a:srgbClr val="2E2E2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 macro="" textlink="">
          <xdr:nvSpPr>
            <xdr:cNvPr id="24" name="Freeform 6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>
              <a:spLocks/>
            </xdr:cNvSpPr>
          </xdr:nvSpPr>
          <xdr:spPr bwMode="auto">
            <a:xfrm>
              <a:off x="1459" y="1797"/>
              <a:ext cx="519" cy="932"/>
            </a:xfrm>
            <a:custGeom>
              <a:avLst/>
              <a:gdLst>
                <a:gd name="T0" fmla="*/ 50 w 50"/>
                <a:gd name="T1" fmla="*/ 12 h 93"/>
                <a:gd name="T2" fmla="*/ 36 w 50"/>
                <a:gd name="T3" fmla="*/ 1 h 93"/>
                <a:gd name="T4" fmla="*/ 15 w 50"/>
                <a:gd name="T5" fmla="*/ 1 h 93"/>
                <a:gd name="T6" fmla="*/ 1 w 50"/>
                <a:gd name="T7" fmla="*/ 12 h 93"/>
                <a:gd name="T8" fmla="*/ 1 w 50"/>
                <a:gd name="T9" fmla="*/ 37 h 93"/>
                <a:gd name="T10" fmla="*/ 1 w 50"/>
                <a:gd name="T11" fmla="*/ 37 h 93"/>
                <a:gd name="T12" fmla="*/ 1 w 50"/>
                <a:gd name="T13" fmla="*/ 37 h 93"/>
                <a:gd name="T14" fmla="*/ 5 w 50"/>
                <a:gd name="T15" fmla="*/ 41 h 93"/>
                <a:gd name="T16" fmla="*/ 9 w 50"/>
                <a:gd name="T17" fmla="*/ 37 h 93"/>
                <a:gd name="T18" fmla="*/ 9 w 50"/>
                <a:gd name="T19" fmla="*/ 37 h 93"/>
                <a:gd name="T20" fmla="*/ 9 w 50"/>
                <a:gd name="T21" fmla="*/ 37 h 93"/>
                <a:gd name="T22" fmla="*/ 9 w 50"/>
                <a:gd name="T23" fmla="*/ 14 h 93"/>
                <a:gd name="T24" fmla="*/ 12 w 50"/>
                <a:gd name="T25" fmla="*/ 14 h 93"/>
                <a:gd name="T26" fmla="*/ 12 w 50"/>
                <a:gd name="T27" fmla="*/ 87 h 93"/>
                <a:gd name="T28" fmla="*/ 18 w 50"/>
                <a:gd name="T29" fmla="*/ 93 h 93"/>
                <a:gd name="T30" fmla="*/ 24 w 50"/>
                <a:gd name="T31" fmla="*/ 87 h 93"/>
                <a:gd name="T32" fmla="*/ 24 w 50"/>
                <a:gd name="T33" fmla="*/ 40 h 93"/>
                <a:gd name="T34" fmla="*/ 26 w 50"/>
                <a:gd name="T35" fmla="*/ 40 h 93"/>
                <a:gd name="T36" fmla="*/ 26 w 50"/>
                <a:gd name="T37" fmla="*/ 87 h 93"/>
                <a:gd name="T38" fmla="*/ 26 w 50"/>
                <a:gd name="T39" fmla="*/ 87 h 93"/>
                <a:gd name="T40" fmla="*/ 32 w 50"/>
                <a:gd name="T41" fmla="*/ 93 h 93"/>
                <a:gd name="T42" fmla="*/ 38 w 50"/>
                <a:gd name="T43" fmla="*/ 87 h 93"/>
                <a:gd name="T44" fmla="*/ 38 w 50"/>
                <a:gd name="T45" fmla="*/ 13 h 93"/>
                <a:gd name="T46" fmla="*/ 41 w 50"/>
                <a:gd name="T47" fmla="*/ 13 h 93"/>
                <a:gd name="T48" fmla="*/ 41 w 50"/>
                <a:gd name="T49" fmla="*/ 37 h 93"/>
                <a:gd name="T50" fmla="*/ 41 w 50"/>
                <a:gd name="T51" fmla="*/ 37 h 93"/>
                <a:gd name="T52" fmla="*/ 41 w 50"/>
                <a:gd name="T53" fmla="*/ 37 h 93"/>
                <a:gd name="T54" fmla="*/ 45 w 50"/>
                <a:gd name="T55" fmla="*/ 41 h 93"/>
                <a:gd name="T56" fmla="*/ 50 w 50"/>
                <a:gd name="T57" fmla="*/ 37 h 93"/>
                <a:gd name="T58" fmla="*/ 50 w 50"/>
                <a:gd name="T59" fmla="*/ 37 h 93"/>
                <a:gd name="T60" fmla="*/ 50 w 50"/>
                <a:gd name="T61" fmla="*/ 12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</a:cxnLst>
              <a:rect l="0" t="0" r="r" b="b"/>
              <a:pathLst>
                <a:path w="50" h="93">
                  <a:moveTo>
                    <a:pt x="50" y="12"/>
                  </a:moveTo>
                  <a:cubicBezTo>
                    <a:pt x="49" y="0"/>
                    <a:pt x="36" y="1"/>
                    <a:pt x="36" y="1"/>
                  </a:cubicBezTo>
                  <a:cubicBezTo>
                    <a:pt x="15" y="1"/>
                    <a:pt x="15" y="1"/>
                    <a:pt x="15" y="1"/>
                  </a:cubicBezTo>
                  <a:cubicBezTo>
                    <a:pt x="0" y="1"/>
                    <a:pt x="1" y="12"/>
                    <a:pt x="1" y="12"/>
                  </a:cubicBezTo>
                  <a:cubicBezTo>
                    <a:pt x="1" y="37"/>
                    <a:pt x="1" y="37"/>
                    <a:pt x="1" y="37"/>
                  </a:cubicBezTo>
                  <a:cubicBezTo>
                    <a:pt x="1" y="37"/>
                    <a:pt x="1" y="37"/>
                    <a:pt x="1" y="37"/>
                  </a:cubicBezTo>
                  <a:cubicBezTo>
                    <a:pt x="1" y="37"/>
                    <a:pt x="1" y="37"/>
                    <a:pt x="1" y="37"/>
                  </a:cubicBezTo>
                  <a:cubicBezTo>
                    <a:pt x="1" y="40"/>
                    <a:pt x="3" y="41"/>
                    <a:pt x="5" y="41"/>
                  </a:cubicBezTo>
                  <a:cubicBezTo>
                    <a:pt x="7" y="41"/>
                    <a:pt x="9" y="40"/>
                    <a:pt x="9" y="37"/>
                  </a:cubicBezTo>
                  <a:cubicBezTo>
                    <a:pt x="9" y="37"/>
                    <a:pt x="9" y="37"/>
                    <a:pt x="9" y="37"/>
                  </a:cubicBezTo>
                  <a:cubicBezTo>
                    <a:pt x="9" y="37"/>
                    <a:pt x="9" y="37"/>
                    <a:pt x="9" y="37"/>
                  </a:cubicBezTo>
                  <a:cubicBezTo>
                    <a:pt x="9" y="14"/>
                    <a:pt x="9" y="14"/>
                    <a:pt x="9" y="14"/>
                  </a:cubicBezTo>
                  <a:cubicBezTo>
                    <a:pt x="12" y="14"/>
                    <a:pt x="12" y="14"/>
                    <a:pt x="12" y="14"/>
                  </a:cubicBezTo>
                  <a:cubicBezTo>
                    <a:pt x="12" y="87"/>
                    <a:pt x="12" y="87"/>
                    <a:pt x="12" y="87"/>
                  </a:cubicBezTo>
                  <a:cubicBezTo>
                    <a:pt x="12" y="91"/>
                    <a:pt x="15" y="93"/>
                    <a:pt x="18" y="93"/>
                  </a:cubicBezTo>
                  <a:cubicBezTo>
                    <a:pt x="21" y="93"/>
                    <a:pt x="24" y="91"/>
                    <a:pt x="24" y="87"/>
                  </a:cubicBezTo>
                  <a:cubicBezTo>
                    <a:pt x="24" y="40"/>
                    <a:pt x="24" y="40"/>
                    <a:pt x="24" y="40"/>
                  </a:cubicBezTo>
                  <a:cubicBezTo>
                    <a:pt x="26" y="40"/>
                    <a:pt x="26" y="40"/>
                    <a:pt x="26" y="40"/>
                  </a:cubicBezTo>
                  <a:cubicBezTo>
                    <a:pt x="26" y="87"/>
                    <a:pt x="26" y="87"/>
                    <a:pt x="26" y="87"/>
                  </a:cubicBezTo>
                  <a:cubicBezTo>
                    <a:pt x="26" y="87"/>
                    <a:pt x="26" y="87"/>
                    <a:pt x="26" y="87"/>
                  </a:cubicBezTo>
                  <a:cubicBezTo>
                    <a:pt x="27" y="91"/>
                    <a:pt x="29" y="93"/>
                    <a:pt x="32" y="93"/>
                  </a:cubicBezTo>
                  <a:cubicBezTo>
                    <a:pt x="36" y="93"/>
                    <a:pt x="38" y="91"/>
                    <a:pt x="38" y="87"/>
                  </a:cubicBezTo>
                  <a:cubicBezTo>
                    <a:pt x="38" y="13"/>
                    <a:pt x="38" y="13"/>
                    <a:pt x="38" y="13"/>
                  </a:cubicBezTo>
                  <a:cubicBezTo>
                    <a:pt x="41" y="13"/>
                    <a:pt x="41" y="13"/>
                    <a:pt x="41" y="13"/>
                  </a:cubicBezTo>
                  <a:cubicBezTo>
                    <a:pt x="41" y="37"/>
                    <a:pt x="41" y="37"/>
                    <a:pt x="41" y="37"/>
                  </a:cubicBezTo>
                  <a:cubicBezTo>
                    <a:pt x="41" y="37"/>
                    <a:pt x="41" y="37"/>
                    <a:pt x="41" y="37"/>
                  </a:cubicBezTo>
                  <a:cubicBezTo>
                    <a:pt x="41" y="37"/>
                    <a:pt x="41" y="37"/>
                    <a:pt x="41" y="37"/>
                  </a:cubicBezTo>
                  <a:cubicBezTo>
                    <a:pt x="41" y="39"/>
                    <a:pt x="43" y="41"/>
                    <a:pt x="45" y="41"/>
                  </a:cubicBezTo>
                  <a:cubicBezTo>
                    <a:pt x="48" y="41"/>
                    <a:pt x="50" y="39"/>
                    <a:pt x="50" y="37"/>
                  </a:cubicBezTo>
                  <a:cubicBezTo>
                    <a:pt x="50" y="37"/>
                    <a:pt x="50" y="37"/>
                    <a:pt x="50" y="37"/>
                  </a:cubicBezTo>
                  <a:lnTo>
                    <a:pt x="50" y="12"/>
                  </a:lnTo>
                  <a:close/>
                </a:path>
              </a:pathLst>
            </a:custGeom>
            <a:solidFill>
              <a:srgbClr val="2E2E2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sp macro="" textlink="">
        <xdr:nvSpPr>
          <xdr:cNvPr id="21" name="流程图: 过程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/>
        </xdr:nvSpPr>
        <xdr:spPr>
          <a:xfrm>
            <a:off x="2250202" y="1976505"/>
            <a:ext cx="94467" cy="2355066"/>
          </a:xfrm>
          <a:prstGeom prst="flowChart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22" name="流程图: 过程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3383280" y="1976505"/>
            <a:ext cx="81202" cy="2355066"/>
          </a:xfrm>
          <a:prstGeom prst="flowChart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7</xdr:col>
      <xdr:colOff>542925</xdr:colOff>
      <xdr:row>53</xdr:row>
      <xdr:rowOff>119107</xdr:rowOff>
    </xdr:from>
    <xdr:to>
      <xdr:col>9</xdr:col>
      <xdr:colOff>288324</xdr:colOff>
      <xdr:row>61</xdr:row>
      <xdr:rowOff>127185</xdr:rowOff>
    </xdr:to>
    <xdr:grpSp>
      <xdr:nvGrpSpPr>
        <xdr:cNvPr id="16" name="组合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>
          <a:off x="5387975" y="10215607"/>
          <a:ext cx="1066199" cy="1532078"/>
          <a:chOff x="4632960" y="274320"/>
          <a:chExt cx="654788" cy="853440"/>
        </a:xfrm>
      </xdr:grpSpPr>
      <xdr:sp macro="" textlink="">
        <xdr:nvSpPr>
          <xdr:cNvPr id="17" name="Freeform 10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>
            <a:spLocks noEditPoints="1"/>
          </xdr:cNvSpPr>
        </xdr:nvSpPr>
        <xdr:spPr bwMode="auto">
          <a:xfrm>
            <a:off x="4722495" y="274320"/>
            <a:ext cx="463653" cy="853440"/>
          </a:xfrm>
          <a:custGeom>
            <a:avLst/>
            <a:gdLst>
              <a:gd name="T0" fmla="*/ 90 w 106"/>
              <a:gd name="T1" fmla="*/ 0 h 198"/>
              <a:gd name="T2" fmla="*/ 17 w 106"/>
              <a:gd name="T3" fmla="*/ 0 h 198"/>
              <a:gd name="T4" fmla="*/ 0 w 106"/>
              <a:gd name="T5" fmla="*/ 16 h 198"/>
              <a:gd name="T6" fmla="*/ 0 w 106"/>
              <a:gd name="T7" fmla="*/ 182 h 198"/>
              <a:gd name="T8" fmla="*/ 17 w 106"/>
              <a:gd name="T9" fmla="*/ 198 h 198"/>
              <a:gd name="T10" fmla="*/ 90 w 106"/>
              <a:gd name="T11" fmla="*/ 198 h 198"/>
              <a:gd name="T12" fmla="*/ 106 w 106"/>
              <a:gd name="T13" fmla="*/ 182 h 198"/>
              <a:gd name="T14" fmla="*/ 106 w 106"/>
              <a:gd name="T15" fmla="*/ 16 h 198"/>
              <a:gd name="T16" fmla="*/ 90 w 106"/>
              <a:gd name="T17" fmla="*/ 0 h 198"/>
              <a:gd name="T18" fmla="*/ 43 w 106"/>
              <a:gd name="T19" fmla="*/ 13 h 198"/>
              <a:gd name="T20" fmla="*/ 63 w 106"/>
              <a:gd name="T21" fmla="*/ 13 h 198"/>
              <a:gd name="T22" fmla="*/ 66 w 106"/>
              <a:gd name="T23" fmla="*/ 16 h 198"/>
              <a:gd name="T24" fmla="*/ 63 w 106"/>
              <a:gd name="T25" fmla="*/ 19 h 198"/>
              <a:gd name="T26" fmla="*/ 43 w 106"/>
              <a:gd name="T27" fmla="*/ 19 h 198"/>
              <a:gd name="T28" fmla="*/ 40 w 106"/>
              <a:gd name="T29" fmla="*/ 16 h 198"/>
              <a:gd name="T30" fmla="*/ 43 w 106"/>
              <a:gd name="T31" fmla="*/ 13 h 198"/>
              <a:gd name="T32" fmla="*/ 53 w 106"/>
              <a:gd name="T33" fmla="*/ 192 h 198"/>
              <a:gd name="T34" fmla="*/ 43 w 106"/>
              <a:gd name="T35" fmla="*/ 182 h 198"/>
              <a:gd name="T36" fmla="*/ 53 w 106"/>
              <a:gd name="T37" fmla="*/ 172 h 198"/>
              <a:gd name="T38" fmla="*/ 63 w 106"/>
              <a:gd name="T39" fmla="*/ 182 h 198"/>
              <a:gd name="T40" fmla="*/ 53 w 106"/>
              <a:gd name="T41" fmla="*/ 192 h 198"/>
              <a:gd name="T42" fmla="*/ 100 w 106"/>
              <a:gd name="T43" fmla="*/ 165 h 198"/>
              <a:gd name="T44" fmla="*/ 7 w 106"/>
              <a:gd name="T45" fmla="*/ 165 h 198"/>
              <a:gd name="T46" fmla="*/ 7 w 106"/>
              <a:gd name="T47" fmla="*/ 33 h 198"/>
              <a:gd name="T48" fmla="*/ 100 w 106"/>
              <a:gd name="T49" fmla="*/ 33 h 198"/>
              <a:gd name="T50" fmla="*/ 100 w 106"/>
              <a:gd name="T51" fmla="*/ 165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06" h="198">
                <a:moveTo>
                  <a:pt x="90" y="0"/>
                </a:moveTo>
                <a:cubicBezTo>
                  <a:pt x="17" y="0"/>
                  <a:pt x="17" y="0"/>
                  <a:pt x="17" y="0"/>
                </a:cubicBezTo>
                <a:cubicBezTo>
                  <a:pt x="8" y="0"/>
                  <a:pt x="0" y="7"/>
                  <a:pt x="0" y="16"/>
                </a:cubicBezTo>
                <a:cubicBezTo>
                  <a:pt x="0" y="182"/>
                  <a:pt x="0" y="182"/>
                  <a:pt x="0" y="182"/>
                </a:cubicBezTo>
                <a:cubicBezTo>
                  <a:pt x="0" y="191"/>
                  <a:pt x="8" y="198"/>
                  <a:pt x="17" y="198"/>
                </a:cubicBezTo>
                <a:cubicBezTo>
                  <a:pt x="90" y="198"/>
                  <a:pt x="90" y="198"/>
                  <a:pt x="90" y="198"/>
                </a:cubicBezTo>
                <a:cubicBezTo>
                  <a:pt x="99" y="198"/>
                  <a:pt x="106" y="191"/>
                  <a:pt x="106" y="182"/>
                </a:cubicBezTo>
                <a:cubicBezTo>
                  <a:pt x="106" y="16"/>
                  <a:pt x="106" y="16"/>
                  <a:pt x="106" y="16"/>
                </a:cubicBezTo>
                <a:cubicBezTo>
                  <a:pt x="106" y="7"/>
                  <a:pt x="99" y="0"/>
                  <a:pt x="90" y="0"/>
                </a:cubicBezTo>
                <a:close/>
                <a:moveTo>
                  <a:pt x="43" y="13"/>
                </a:moveTo>
                <a:cubicBezTo>
                  <a:pt x="63" y="13"/>
                  <a:pt x="63" y="13"/>
                  <a:pt x="63" y="13"/>
                </a:cubicBezTo>
                <a:cubicBezTo>
                  <a:pt x="65" y="13"/>
                  <a:pt x="66" y="14"/>
                  <a:pt x="66" y="16"/>
                </a:cubicBezTo>
                <a:cubicBezTo>
                  <a:pt x="66" y="18"/>
                  <a:pt x="65" y="19"/>
                  <a:pt x="63" y="19"/>
                </a:cubicBezTo>
                <a:cubicBezTo>
                  <a:pt x="43" y="19"/>
                  <a:pt x="43" y="19"/>
                  <a:pt x="43" y="19"/>
                </a:cubicBezTo>
                <a:cubicBezTo>
                  <a:pt x="42" y="19"/>
                  <a:pt x="40" y="18"/>
                  <a:pt x="40" y="16"/>
                </a:cubicBezTo>
                <a:cubicBezTo>
                  <a:pt x="40" y="14"/>
                  <a:pt x="42" y="13"/>
                  <a:pt x="43" y="13"/>
                </a:cubicBezTo>
                <a:close/>
                <a:moveTo>
                  <a:pt x="53" y="192"/>
                </a:moveTo>
                <a:cubicBezTo>
                  <a:pt x="48" y="192"/>
                  <a:pt x="43" y="187"/>
                  <a:pt x="43" y="182"/>
                </a:cubicBezTo>
                <a:cubicBezTo>
                  <a:pt x="43" y="176"/>
                  <a:pt x="48" y="172"/>
                  <a:pt x="53" y="172"/>
                </a:cubicBezTo>
                <a:cubicBezTo>
                  <a:pt x="59" y="172"/>
                  <a:pt x="63" y="176"/>
                  <a:pt x="63" y="182"/>
                </a:cubicBezTo>
                <a:cubicBezTo>
                  <a:pt x="63" y="187"/>
                  <a:pt x="59" y="192"/>
                  <a:pt x="53" y="192"/>
                </a:cubicBezTo>
                <a:close/>
                <a:moveTo>
                  <a:pt x="100" y="165"/>
                </a:moveTo>
                <a:cubicBezTo>
                  <a:pt x="7" y="165"/>
                  <a:pt x="7" y="165"/>
                  <a:pt x="7" y="165"/>
                </a:cubicBezTo>
                <a:cubicBezTo>
                  <a:pt x="7" y="33"/>
                  <a:pt x="7" y="33"/>
                  <a:pt x="7" y="33"/>
                </a:cubicBezTo>
                <a:cubicBezTo>
                  <a:pt x="100" y="33"/>
                  <a:pt x="100" y="33"/>
                  <a:pt x="100" y="33"/>
                </a:cubicBezTo>
                <a:lnTo>
                  <a:pt x="100" y="165"/>
                </a:lnTo>
                <a:close/>
              </a:path>
            </a:pathLst>
          </a:custGeom>
          <a:solidFill>
            <a:schemeClr val="tx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8" name="矩形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>
          <a:xfrm>
            <a:off x="4632960" y="345440"/>
            <a:ext cx="101600" cy="7518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9" name="矩形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/>
        </xdr:nvSpPr>
        <xdr:spPr>
          <a:xfrm>
            <a:off x="5186148" y="345440"/>
            <a:ext cx="101600" cy="7518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8</xdr:col>
      <xdr:colOff>101600</xdr:colOff>
      <xdr:row>1</xdr:row>
      <xdr:rowOff>95250</xdr:rowOff>
    </xdr:from>
    <xdr:to>
      <xdr:col>8</xdr:col>
      <xdr:colOff>603250</xdr:colOff>
      <xdr:row>4</xdr:row>
      <xdr:rowOff>44450</xdr:rowOff>
    </xdr:to>
    <xdr:sp macro="" textlink="">
      <xdr:nvSpPr>
        <xdr:cNvPr id="2" name="等腰三角形 1">
          <a:extLst>
            <a:ext uri="{FF2B5EF4-FFF2-40B4-BE49-F238E27FC236}">
              <a16:creationId xmlns:a16="http://schemas.microsoft.com/office/drawing/2014/main" id="{7DEB39C1-1361-CB51-F1AD-0138DB46300D}"/>
            </a:ext>
          </a:extLst>
        </xdr:cNvPr>
        <xdr:cNvSpPr/>
      </xdr:nvSpPr>
      <xdr:spPr>
        <a:xfrm>
          <a:off x="5607050" y="285750"/>
          <a:ext cx="501650" cy="5207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584200</xdr:colOff>
      <xdr:row>23</xdr:row>
      <xdr:rowOff>177800</xdr:rowOff>
    </xdr:from>
    <xdr:to>
      <xdr:col>8</xdr:col>
      <xdr:colOff>647700</xdr:colOff>
      <xdr:row>26</xdr:row>
      <xdr:rowOff>19050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433A8DE6-7E83-2D71-3EF6-8406B2477A46}"/>
            </a:ext>
          </a:extLst>
        </xdr:cNvPr>
        <xdr:cNvGrpSpPr/>
      </xdr:nvGrpSpPr>
      <xdr:grpSpPr>
        <a:xfrm>
          <a:off x="5429250" y="4559300"/>
          <a:ext cx="723900" cy="412750"/>
          <a:chOff x="5429250" y="4559300"/>
          <a:chExt cx="723900" cy="412750"/>
        </a:xfrm>
      </xdr:grpSpPr>
      <xdr:sp macro="" textlink="">
        <xdr:nvSpPr>
          <xdr:cNvPr id="11" name="心形 10">
            <a:extLst>
              <a:ext uri="{FF2B5EF4-FFF2-40B4-BE49-F238E27FC236}">
                <a16:creationId xmlns:a16="http://schemas.microsoft.com/office/drawing/2014/main" id="{EE133F99-8ED7-4E91-8E35-EC45EFBE1889}"/>
              </a:ext>
            </a:extLst>
          </xdr:cNvPr>
          <xdr:cNvSpPr/>
        </xdr:nvSpPr>
        <xdr:spPr>
          <a:xfrm>
            <a:off x="5505450" y="4572000"/>
            <a:ext cx="447675" cy="400050"/>
          </a:xfrm>
          <a:prstGeom prst="hear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2" name="矩形 11">
            <a:extLst>
              <a:ext uri="{FF2B5EF4-FFF2-40B4-BE49-F238E27FC236}">
                <a16:creationId xmlns:a16="http://schemas.microsoft.com/office/drawing/2014/main" id="{88B64A83-50F1-0F61-91F8-ECCA88A8841B}"/>
              </a:ext>
            </a:extLst>
          </xdr:cNvPr>
          <xdr:cNvSpPr/>
        </xdr:nvSpPr>
        <xdr:spPr>
          <a:xfrm>
            <a:off x="5429250" y="4559300"/>
            <a:ext cx="723900" cy="412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43"/>
  <sheetViews>
    <sheetView topLeftCell="A7" zoomScaleNormal="100" workbookViewId="0">
      <selection activeCell="H15" sqref="H15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6" t="s">
        <v>14</v>
      </c>
    </row>
    <row r="10" spans="1:2" s="3" customFormat="1" ht="13" hidden="1" outlineLevel="1" x14ac:dyDescent="0.25"/>
    <row r="11" spans="1:2" s="3" customFormat="1" ht="13" hidden="1" outlineLevel="1" x14ac:dyDescent="0.25"/>
    <row r="12" spans="1:2" s="3" customFormat="1" ht="13" hidden="1" outlineLevel="1" x14ac:dyDescent="0.25"/>
    <row r="13" spans="1:2" s="3" customFormat="1" ht="13" hidden="1" outlineLevel="1" x14ac:dyDescent="0.25"/>
    <row r="14" spans="1:2" s="3" customFormat="1" ht="13" hidden="1" outlineLevel="1" x14ac:dyDescent="0.25"/>
    <row r="15" spans="1:2" s="3" customFormat="1" ht="13" hidden="1" outlineLevel="1" x14ac:dyDescent="0.25"/>
    <row r="16" spans="1:2" s="3" customFormat="1" ht="13" hidden="1" outlineLevel="1" x14ac:dyDescent="0.25"/>
    <row r="17" spans="1:7" s="3" customFormat="1" ht="13" hidden="1" outlineLevel="1" x14ac:dyDescent="0.25"/>
    <row r="18" spans="1:7" s="3" customFormat="1" ht="13" collapsed="1" x14ac:dyDescent="0.25"/>
    <row r="19" spans="1:7" s="3" customFormat="1" ht="13" x14ac:dyDescent="0.25">
      <c r="A19" s="3" t="s">
        <v>2</v>
      </c>
      <c r="B19" s="16" t="s">
        <v>31</v>
      </c>
    </row>
    <row r="20" spans="1:7" s="3" customFormat="1" ht="13" outlineLevel="1" x14ac:dyDescent="0.25"/>
    <row r="21" spans="1:7" s="3" customFormat="1" ht="13" outlineLevel="1" x14ac:dyDescent="0.25">
      <c r="B21" s="17" t="s">
        <v>32</v>
      </c>
    </row>
    <row r="22" spans="1:7" s="3" customFormat="1" ht="13" outlineLevel="1" x14ac:dyDescent="0.25"/>
    <row r="23" spans="1:7" s="3" customFormat="1" outlineLevel="1" x14ac:dyDescent="0.25">
      <c r="B23" s="17" t="s">
        <v>33</v>
      </c>
      <c r="C23" s="4"/>
      <c r="G23" s="5"/>
    </row>
    <row r="24" spans="1:7" s="3" customFormat="1" outlineLevel="1" x14ac:dyDescent="0.25">
      <c r="B24" s="17"/>
      <c r="C24" s="4"/>
      <c r="G24" s="5"/>
    </row>
    <row r="25" spans="1:7" s="3" customFormat="1" outlineLevel="1" x14ac:dyDescent="0.25">
      <c r="B25" s="17" t="s">
        <v>34</v>
      </c>
      <c r="C25" s="4"/>
      <c r="G25" s="5"/>
    </row>
    <row r="26" spans="1:7" s="3" customFormat="1" outlineLevel="1" x14ac:dyDescent="0.25">
      <c r="B26" s="17"/>
      <c r="C26" s="4"/>
      <c r="G26" s="5"/>
    </row>
    <row r="27" spans="1:7" s="3" customFormat="1" outlineLevel="1" x14ac:dyDescent="0.25">
      <c r="B27" s="17" t="s">
        <v>35</v>
      </c>
      <c r="C27" s="4"/>
      <c r="G27" s="5"/>
    </row>
    <row r="28" spans="1:7" s="3" customFormat="1" ht="13" outlineLevel="1" x14ac:dyDescent="0.25">
      <c r="C28" s="4"/>
    </row>
    <row r="29" spans="1:7" s="3" customFormat="1" ht="13" x14ac:dyDescent="0.25"/>
    <row r="30" spans="1:7" s="3" customFormat="1" ht="13" x14ac:dyDescent="0.25">
      <c r="A30" s="3" t="s">
        <v>1</v>
      </c>
      <c r="B30" s="16" t="s">
        <v>36</v>
      </c>
    </row>
    <row r="31" spans="1:7" s="3" customFormat="1" ht="13" outlineLevel="1" x14ac:dyDescent="0.25"/>
    <row r="32" spans="1:7" s="3" customFormat="1" ht="13" outlineLevel="1" x14ac:dyDescent="0.25">
      <c r="B32" s="17" t="s">
        <v>37</v>
      </c>
    </row>
    <row r="33" spans="1:7" s="3" customFormat="1" ht="13" outlineLevel="1" x14ac:dyDescent="0.25"/>
    <row r="34" spans="1:7" s="3" customFormat="1" ht="13" outlineLevel="1" x14ac:dyDescent="0.25">
      <c r="B34" s="17" t="s">
        <v>38</v>
      </c>
      <c r="C34" s="4"/>
    </row>
    <row r="35" spans="1:7" s="3" customFormat="1" ht="13" outlineLevel="1" x14ac:dyDescent="0.25"/>
    <row r="36" spans="1:7" s="3" customFormat="1" ht="13" x14ac:dyDescent="0.25">
      <c r="C36" s="4"/>
    </row>
    <row r="37" spans="1:7" x14ac:dyDescent="0.25">
      <c r="A37" s="3"/>
      <c r="C37" s="3"/>
      <c r="D37" s="3"/>
      <c r="E37" s="3"/>
      <c r="F37" s="3"/>
      <c r="G37" s="3"/>
    </row>
    <row r="38" spans="1:7" x14ac:dyDescent="0.25">
      <c r="C38" s="3"/>
      <c r="E38" s="3"/>
    </row>
    <row r="39" spans="1:7" x14ac:dyDescent="0.25">
      <c r="C39" s="3"/>
      <c r="E39" s="3"/>
    </row>
    <row r="40" spans="1:7" x14ac:dyDescent="0.25">
      <c r="E40" s="3"/>
    </row>
    <row r="41" spans="1:7" x14ac:dyDescent="0.25">
      <c r="E41" s="3"/>
    </row>
    <row r="42" spans="1:7" x14ac:dyDescent="0.25">
      <c r="E42" s="3"/>
    </row>
    <row r="43" spans="1:7" x14ac:dyDescent="0.25">
      <c r="E43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zoomScale="115" zoomScaleNormal="115" workbookViewId="0">
      <selection activeCell="A10" sqref="A10"/>
    </sheetView>
  </sheetViews>
  <sheetFormatPr defaultRowHeight="15" x14ac:dyDescent="0.25"/>
  <cols>
    <col min="2" max="2" width="11.58203125" bestFit="1" customWidth="1"/>
  </cols>
  <sheetData>
    <row r="1" spans="1:2" x14ac:dyDescent="0.25">
      <c r="A1" s="8" t="s">
        <v>3</v>
      </c>
      <c r="B1" s="9" t="s">
        <v>39</v>
      </c>
    </row>
    <row r="2" spans="1:2" x14ac:dyDescent="0.25">
      <c r="A2" s="8" t="s">
        <v>6</v>
      </c>
      <c r="B2" s="10">
        <v>5683855.425752</v>
      </c>
    </row>
    <row r="3" spans="1:2" x14ac:dyDescent="0.25">
      <c r="A3" s="8" t="s">
        <v>7</v>
      </c>
      <c r="B3" s="10">
        <v>3265431.6595807001</v>
      </c>
    </row>
    <row r="4" spans="1:2" x14ac:dyDescent="0.25">
      <c r="A4" s="8" t="s">
        <v>8</v>
      </c>
      <c r="B4" s="10">
        <v>3409189.5220972998</v>
      </c>
    </row>
    <row r="5" spans="1:2" x14ac:dyDescent="0.25">
      <c r="A5" s="8" t="s">
        <v>9</v>
      </c>
      <c r="B5" s="10">
        <v>3677803.2499810602</v>
      </c>
    </row>
    <row r="6" spans="1:2" x14ac:dyDescent="0.25">
      <c r="A6" s="8" t="s">
        <v>10</v>
      </c>
      <c r="B6" s="10">
        <v>8330937.8716042545</v>
      </c>
    </row>
    <row r="7" spans="1:2" x14ac:dyDescent="0.25">
      <c r="A7" s="8" t="s">
        <v>11</v>
      </c>
      <c r="B7" s="10">
        <v>6101319.8145869402</v>
      </c>
    </row>
    <row r="8" spans="1:2" x14ac:dyDescent="0.25">
      <c r="A8" s="8" t="s">
        <v>12</v>
      </c>
      <c r="B8" s="10">
        <v>6848837.1477062004</v>
      </c>
    </row>
    <row r="9" spans="1:2" x14ac:dyDescent="0.25">
      <c r="A9" s="8" t="s">
        <v>13</v>
      </c>
      <c r="B9" s="10">
        <v>4270089.9468275001</v>
      </c>
    </row>
  </sheetData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0AD4-F8B6-4538-ABB7-36060BE5D569}">
  <sheetPr codeName="Sheet3"/>
  <dimension ref="A4:A6"/>
  <sheetViews>
    <sheetView workbookViewId="0">
      <selection activeCell="A4" sqref="A4:XFD6"/>
    </sheetView>
  </sheetViews>
  <sheetFormatPr defaultRowHeight="15" outlineLevelRow="1" x14ac:dyDescent="0.25"/>
  <sheetData>
    <row r="4" outlineLevel="1" x14ac:dyDescent="0.25"/>
    <row r="5" outlineLevel="1" x14ac:dyDescent="0.25"/>
    <row r="6" outlineLevel="1" x14ac:dyDescent="0.2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E45"/>
  <sheetViews>
    <sheetView topLeftCell="C28" zoomScale="70" zoomScaleNormal="70" workbookViewId="0">
      <selection activeCell="E45" sqref="E45"/>
    </sheetView>
  </sheetViews>
  <sheetFormatPr defaultRowHeight="15" x14ac:dyDescent="0.25"/>
  <cols>
    <col min="2" max="2" width="10.5" bestFit="1" customWidth="1"/>
  </cols>
  <sheetData>
    <row r="1" spans="1:3" x14ac:dyDescent="0.25">
      <c r="A1" s="13" t="s">
        <v>23</v>
      </c>
      <c r="B1" s="13" t="s">
        <v>24</v>
      </c>
      <c r="C1" s="13" t="s">
        <v>25</v>
      </c>
    </row>
    <row r="2" spans="1:3" x14ac:dyDescent="0.25">
      <c r="A2" s="14" t="s">
        <v>26</v>
      </c>
      <c r="B2" s="14">
        <v>76</v>
      </c>
      <c r="C2" s="15">
        <v>0.85699999999999998</v>
      </c>
    </row>
    <row r="3" spans="1:3" x14ac:dyDescent="0.25">
      <c r="A3" s="14" t="s">
        <v>27</v>
      </c>
      <c r="B3" s="14">
        <v>88</v>
      </c>
      <c r="C3" s="15">
        <v>0.89200000000000002</v>
      </c>
    </row>
    <row r="4" spans="1:3" x14ac:dyDescent="0.25">
      <c r="A4" s="14" t="s">
        <v>28</v>
      </c>
      <c r="B4" s="14">
        <v>85</v>
      </c>
      <c r="C4" s="15">
        <v>0.86399999999999999</v>
      </c>
    </row>
    <row r="5" spans="1:3" x14ac:dyDescent="0.25">
      <c r="A5" s="14" t="s">
        <v>29</v>
      </c>
      <c r="B5" s="14">
        <v>89</v>
      </c>
      <c r="C5" s="15">
        <v>0.95</v>
      </c>
    </row>
    <row r="6" spans="1:3" x14ac:dyDescent="0.25">
      <c r="A6" s="14" t="s">
        <v>30</v>
      </c>
      <c r="B6" s="14">
        <v>88</v>
      </c>
      <c r="C6" s="15">
        <v>0.92600000000000005</v>
      </c>
    </row>
    <row r="20" spans="4:4" x14ac:dyDescent="0.25">
      <c r="D20" s="18" t="s">
        <v>40</v>
      </c>
    </row>
    <row r="45" spans="5:5" x14ac:dyDescent="0.25">
      <c r="E45" s="18" t="s">
        <v>41</v>
      </c>
    </row>
  </sheetData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9"/>
  <sheetViews>
    <sheetView zoomScale="70" zoomScaleNormal="70" workbookViewId="0">
      <selection activeCell="K28" sqref="K28"/>
    </sheetView>
  </sheetViews>
  <sheetFormatPr defaultColWidth="9" defaultRowHeight="15" customHeight="1" x14ac:dyDescent="0.25"/>
  <cols>
    <col min="1" max="2" width="9" style="7"/>
    <col min="3" max="3" width="12.08203125" style="7" bestFit="1" customWidth="1"/>
    <col min="4" max="16384" width="9" style="7"/>
  </cols>
  <sheetData>
    <row r="1" spans="1:3" ht="15" customHeight="1" x14ac:dyDescent="0.25">
      <c r="A1" s="8" t="s">
        <v>3</v>
      </c>
      <c r="B1" s="9" t="s">
        <v>4</v>
      </c>
      <c r="C1" s="9" t="s">
        <v>5</v>
      </c>
    </row>
    <row r="2" spans="1:3" ht="15" customHeight="1" x14ac:dyDescent="0.25">
      <c r="A2" s="8" t="s">
        <v>6</v>
      </c>
      <c r="B2" s="8">
        <v>6000000</v>
      </c>
      <c r="C2" s="10">
        <v>5683855.425752</v>
      </c>
    </row>
    <row r="3" spans="1:3" ht="15" customHeight="1" x14ac:dyDescent="0.25">
      <c r="A3" s="8" t="s">
        <v>7</v>
      </c>
      <c r="B3" s="8">
        <v>3000000</v>
      </c>
      <c r="C3" s="10">
        <v>3265431.6595807001</v>
      </c>
    </row>
    <row r="4" spans="1:3" ht="15" customHeight="1" x14ac:dyDescent="0.25">
      <c r="A4" s="8" t="s">
        <v>8</v>
      </c>
      <c r="B4" s="8">
        <v>3000000</v>
      </c>
      <c r="C4" s="10">
        <v>3409189.5220972998</v>
      </c>
    </row>
    <row r="5" spans="1:3" ht="15" customHeight="1" x14ac:dyDescent="0.25">
      <c r="A5" s="8" t="s">
        <v>9</v>
      </c>
      <c r="B5" s="8">
        <v>4000000</v>
      </c>
      <c r="C5" s="10">
        <v>3677803.2499810602</v>
      </c>
    </row>
    <row r="6" spans="1:3" ht="15" customHeight="1" x14ac:dyDescent="0.25">
      <c r="A6" s="8" t="s">
        <v>10</v>
      </c>
      <c r="B6" s="8">
        <v>6000000</v>
      </c>
      <c r="C6" s="10">
        <v>8330937.8716042545</v>
      </c>
    </row>
    <row r="7" spans="1:3" ht="15" customHeight="1" x14ac:dyDescent="0.25">
      <c r="A7" s="8" t="s">
        <v>11</v>
      </c>
      <c r="B7" s="8">
        <v>6000000</v>
      </c>
      <c r="C7" s="10">
        <v>6101319.8145869402</v>
      </c>
    </row>
    <row r="8" spans="1:3" ht="15" customHeight="1" x14ac:dyDescent="0.25">
      <c r="A8" s="8" t="s">
        <v>12</v>
      </c>
      <c r="B8" s="8">
        <v>6000000</v>
      </c>
      <c r="C8" s="10">
        <v>6848837.1477062004</v>
      </c>
    </row>
    <row r="9" spans="1:3" ht="15" customHeight="1" x14ac:dyDescent="0.25">
      <c r="A9" s="8" t="s">
        <v>13</v>
      </c>
      <c r="B9" s="8">
        <v>6000000</v>
      </c>
      <c r="C9" s="10">
        <v>4270089.9468275001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7"/>
  <sheetViews>
    <sheetView workbookViewId="0">
      <selection activeCell="B3" sqref="B3"/>
    </sheetView>
  </sheetViews>
  <sheetFormatPr defaultRowHeight="15" x14ac:dyDescent="0.25"/>
  <sheetData>
    <row r="1" spans="1:3" x14ac:dyDescent="0.25">
      <c r="B1" t="s">
        <v>15</v>
      </c>
      <c r="C1" t="s">
        <v>16</v>
      </c>
    </row>
    <row r="2" spans="1:3" x14ac:dyDescent="0.25">
      <c r="A2" s="11" t="s">
        <v>17</v>
      </c>
      <c r="B2" s="12">
        <v>0.32</v>
      </c>
      <c r="C2" s="12">
        <f t="shared" ref="C2:C7" si="0">1-B2</f>
        <v>0.67999999999999994</v>
      </c>
    </row>
    <row r="3" spans="1:3" x14ac:dyDescent="0.25">
      <c r="A3" s="11" t="s">
        <v>18</v>
      </c>
      <c r="B3" s="12">
        <v>0.55000000000000004</v>
      </c>
      <c r="C3" s="12">
        <f t="shared" si="0"/>
        <v>0.44999999999999996</v>
      </c>
    </row>
    <row r="4" spans="1:3" x14ac:dyDescent="0.25">
      <c r="A4" s="11" t="s">
        <v>19</v>
      </c>
      <c r="B4" s="12">
        <v>0.6</v>
      </c>
      <c r="C4" s="12">
        <f t="shared" si="0"/>
        <v>0.4</v>
      </c>
    </row>
    <row r="5" spans="1:3" x14ac:dyDescent="0.25">
      <c r="A5" s="11" t="s">
        <v>20</v>
      </c>
      <c r="B5" s="12">
        <v>0.73</v>
      </c>
      <c r="C5" s="12">
        <f t="shared" si="0"/>
        <v>0.27</v>
      </c>
    </row>
    <row r="6" spans="1:3" x14ac:dyDescent="0.25">
      <c r="A6" s="11" t="s">
        <v>21</v>
      </c>
      <c r="B6" s="12">
        <v>0.82</v>
      </c>
      <c r="C6" s="12">
        <f t="shared" si="0"/>
        <v>0.18000000000000005</v>
      </c>
    </row>
    <row r="7" spans="1:3" x14ac:dyDescent="0.25">
      <c r="A7" s="11" t="s">
        <v>22</v>
      </c>
      <c r="B7" s="12">
        <v>0.76</v>
      </c>
      <c r="C7" s="12">
        <f t="shared" si="0"/>
        <v>0.24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9"/>
  <sheetViews>
    <sheetView tabSelected="1" topLeftCell="A52" workbookViewId="0">
      <selection activeCell="K65" sqref="K65"/>
    </sheetView>
  </sheetViews>
  <sheetFormatPr defaultRowHeight="15" x14ac:dyDescent="0.25"/>
  <cols>
    <col min="2" max="2" width="11.58203125" bestFit="1" customWidth="1"/>
  </cols>
  <sheetData>
    <row r="1" spans="1:2" x14ac:dyDescent="0.25">
      <c r="A1" s="8" t="s">
        <v>3</v>
      </c>
      <c r="B1" s="9" t="s">
        <v>5</v>
      </c>
    </row>
    <row r="2" spans="1:2" x14ac:dyDescent="0.25">
      <c r="A2" s="8" t="s">
        <v>6</v>
      </c>
      <c r="B2" s="10">
        <v>5683855.425752</v>
      </c>
    </row>
    <row r="3" spans="1:2" x14ac:dyDescent="0.25">
      <c r="A3" s="8" t="s">
        <v>7</v>
      </c>
      <c r="B3" s="10">
        <v>3265431.6595807001</v>
      </c>
    </row>
    <row r="4" spans="1:2" x14ac:dyDescent="0.25">
      <c r="A4" s="8" t="s">
        <v>8</v>
      </c>
      <c r="B4" s="10">
        <v>3409189.5220972998</v>
      </c>
    </row>
    <row r="5" spans="1:2" x14ac:dyDescent="0.25">
      <c r="A5" s="8" t="s">
        <v>9</v>
      </c>
      <c r="B5" s="10">
        <v>3677803.2499810602</v>
      </c>
    </row>
    <row r="6" spans="1:2" x14ac:dyDescent="0.25">
      <c r="A6" s="8" t="s">
        <v>10</v>
      </c>
      <c r="B6" s="10">
        <v>8330937.8716042545</v>
      </c>
    </row>
    <row r="7" spans="1:2" x14ac:dyDescent="0.25">
      <c r="A7" s="8" t="s">
        <v>11</v>
      </c>
      <c r="B7" s="10">
        <v>6101319.8145869402</v>
      </c>
    </row>
    <row r="8" spans="1:2" x14ac:dyDescent="0.25">
      <c r="A8" s="8" t="s">
        <v>12</v>
      </c>
      <c r="B8" s="10">
        <v>6848837.1477062004</v>
      </c>
    </row>
    <row r="9" spans="1:2" x14ac:dyDescent="0.25">
      <c r="A9" s="8" t="s">
        <v>13</v>
      </c>
      <c r="B9" s="10">
        <v>4270089.9468275001</v>
      </c>
    </row>
  </sheetData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EXCEL课件</vt:lpstr>
      <vt:lpstr>图表1</vt:lpstr>
      <vt:lpstr>Sheet1</vt:lpstr>
      <vt:lpstr>图表2</vt:lpstr>
      <vt:lpstr>图表3</vt:lpstr>
      <vt:lpstr>图表4</vt:lpstr>
      <vt:lpstr>图表5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2025-10-09T07:56:39Z</dcterms:modified>
</cp:coreProperties>
</file>