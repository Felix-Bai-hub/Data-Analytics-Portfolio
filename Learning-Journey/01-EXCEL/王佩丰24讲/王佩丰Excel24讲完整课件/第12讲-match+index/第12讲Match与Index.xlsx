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12讲-match+index\"/>
    </mc:Choice>
  </mc:AlternateContent>
  <xr:revisionPtr revIDLastSave="0" documentId="13_ncr:1_{6A912A5F-2476-4AF6-BB66-F0C2D1B7D82D}" xr6:coauthVersionLast="47" xr6:coauthVersionMax="47" xr10:uidLastSave="{00000000-0000-0000-0000-000000000000}"/>
  <bookViews>
    <workbookView xWindow="-110" yWindow="-110" windowWidth="19420" windowHeight="11020" activeTab="6" xr2:uid="{00000000-000D-0000-FFFF-FFFF00000000}"/>
  </bookViews>
  <sheets>
    <sheet name="EXCEL课件" sheetId="1" r:id="rId1"/>
    <sheet name="数据源" sheetId="24" r:id="rId2"/>
    <sheet name="查询" sheetId="27" r:id="rId3"/>
    <sheet name="查询2" sheetId="32" r:id="rId4"/>
    <sheet name="单元格引用原理" sheetId="33" r:id="rId5"/>
    <sheet name="返回多列结果" sheetId="34" r:id="rId6"/>
    <sheet name="Sheet1" sheetId="36" r:id="rId7"/>
    <sheet name="返回多列结果2" sheetId="35" r:id="rId8"/>
  </sheets>
  <definedNames>
    <definedName name="_xlnm._FilterDatabase" localSheetId="1" hidden="1">数据源!#REF!</definedName>
    <definedName name="_xlnm.Extract" localSheetId="1">数据源!#REF!</definedName>
    <definedName name="图片">INDEX(Sheet1!$H:$H,MATCH(Sheet1!$K$1,Sheet1!$D:$D,0))</definedName>
  </definedNames>
  <calcPr calcId="191029"/>
</workbook>
</file>

<file path=xl/calcChain.xml><?xml version="1.0" encoding="utf-8"?>
<calcChain xmlns="http://schemas.openxmlformats.org/spreadsheetml/2006/main">
  <c r="F3" i="36" l="1"/>
  <c r="E3" i="36"/>
  <c r="D3" i="36"/>
  <c r="C3" i="36"/>
  <c r="B3" i="36"/>
  <c r="F2" i="36"/>
  <c r="E2" i="36"/>
  <c r="D2" i="36"/>
  <c r="C2" i="36"/>
  <c r="B2" i="36"/>
  <c r="F1" i="36"/>
  <c r="E1" i="36"/>
  <c r="D1" i="36"/>
  <c r="K2" i="36" s="1"/>
  <c r="C1" i="36"/>
  <c r="B1" i="36"/>
  <c r="F9" i="34"/>
  <c r="E9" i="34"/>
  <c r="D9" i="34"/>
  <c r="C9" i="34"/>
  <c r="B9" i="34"/>
  <c r="B4" i="34"/>
  <c r="C4" i="34"/>
  <c r="D4" i="34"/>
  <c r="E4" i="34"/>
  <c r="F4" i="34"/>
  <c r="B5" i="34"/>
  <c r="C5" i="34"/>
  <c r="D5" i="34"/>
  <c r="E5" i="34"/>
  <c r="F5" i="34"/>
  <c r="B6" i="34"/>
  <c r="C6" i="34"/>
  <c r="D6" i="34"/>
  <c r="E6" i="34"/>
  <c r="F6" i="34"/>
  <c r="B7" i="34"/>
  <c r="C7" i="34"/>
  <c r="D7" i="34"/>
  <c r="E7" i="34"/>
  <c r="F7" i="34"/>
  <c r="B8" i="34"/>
  <c r="C8" i="34"/>
  <c r="D8" i="34"/>
  <c r="E8" i="34"/>
  <c r="F8" i="34"/>
  <c r="C3" i="34"/>
  <c r="D3" i="34"/>
  <c r="E3" i="34"/>
  <c r="F3" i="34"/>
  <c r="B3" i="34"/>
  <c r="E5" i="35"/>
  <c r="F5" i="35"/>
  <c r="G5" i="35"/>
  <c r="H5" i="35"/>
  <c r="I5" i="35"/>
  <c r="J5" i="35"/>
  <c r="E6" i="35"/>
  <c r="F6" i="35"/>
  <c r="G6" i="35"/>
  <c r="H6" i="35"/>
  <c r="I6" i="35"/>
  <c r="J6" i="35"/>
  <c r="E7" i="35"/>
  <c r="F7" i="35"/>
  <c r="G7" i="35"/>
  <c r="H7" i="35"/>
  <c r="I7" i="35"/>
  <c r="J7" i="35"/>
  <c r="E8" i="35"/>
  <c r="F8" i="35"/>
  <c r="G8" i="35"/>
  <c r="H8" i="35"/>
  <c r="I8" i="35"/>
  <c r="J8" i="35"/>
  <c r="E9" i="35"/>
  <c r="F9" i="35"/>
  <c r="G9" i="35"/>
  <c r="H9" i="35"/>
  <c r="I9" i="35"/>
  <c r="J9" i="35"/>
  <c r="E10" i="35"/>
  <c r="F10" i="35"/>
  <c r="G10" i="35"/>
  <c r="H10" i="35"/>
  <c r="I10" i="35"/>
  <c r="J10" i="35"/>
  <c r="F4" i="35"/>
  <c r="G4" i="35"/>
  <c r="H4" i="35"/>
  <c r="I4" i="35"/>
  <c r="J4" i="35"/>
  <c r="E4" i="35"/>
  <c r="B3" i="33"/>
  <c r="C3" i="33"/>
  <c r="D3" i="33"/>
  <c r="E3" i="33"/>
  <c r="F3" i="33"/>
  <c r="G3" i="33"/>
  <c r="H3" i="33"/>
  <c r="I3" i="33"/>
  <c r="J3" i="33"/>
  <c r="B4" i="33"/>
  <c r="C4" i="33"/>
  <c r="D4" i="33"/>
  <c r="E4" i="33"/>
  <c r="F4" i="33"/>
  <c r="G4" i="33"/>
  <c r="H4" i="33"/>
  <c r="I4" i="33"/>
  <c r="J4" i="33"/>
  <c r="B5" i="33"/>
  <c r="C5" i="33"/>
  <c r="D5" i="33"/>
  <c r="E5" i="33"/>
  <c r="F5" i="33"/>
  <c r="G5" i="33"/>
  <c r="H5" i="33"/>
  <c r="I5" i="33"/>
  <c r="J5" i="33"/>
  <c r="B6" i="33"/>
  <c r="C6" i="33"/>
  <c r="D6" i="33"/>
  <c r="E6" i="33"/>
  <c r="F6" i="33"/>
  <c r="G6" i="33"/>
  <c r="H6" i="33"/>
  <c r="I6" i="33"/>
  <c r="J6" i="33"/>
  <c r="B7" i="33"/>
  <c r="C7" i="33"/>
  <c r="D7" i="33"/>
  <c r="E7" i="33"/>
  <c r="F7" i="33"/>
  <c r="G7" i="33"/>
  <c r="H7" i="33"/>
  <c r="I7" i="33"/>
  <c r="J7" i="33"/>
  <c r="B8" i="33"/>
  <c r="C8" i="33"/>
  <c r="D8" i="33"/>
  <c r="E8" i="33"/>
  <c r="F8" i="33"/>
  <c r="G8" i="33"/>
  <c r="H8" i="33"/>
  <c r="I8" i="33"/>
  <c r="J8" i="33"/>
  <c r="B9" i="33"/>
  <c r="C9" i="33"/>
  <c r="D9" i="33"/>
  <c r="E9" i="33"/>
  <c r="F9" i="33"/>
  <c r="G9" i="33"/>
  <c r="H9" i="33"/>
  <c r="I9" i="33"/>
  <c r="J9" i="33"/>
  <c r="B10" i="33"/>
  <c r="C10" i="33"/>
  <c r="D10" i="33"/>
  <c r="E10" i="33"/>
  <c r="F10" i="33"/>
  <c r="G10" i="33"/>
  <c r="H10" i="33"/>
  <c r="I10" i="33"/>
  <c r="J10" i="33"/>
  <c r="C2" i="33"/>
  <c r="D2" i="33"/>
  <c r="E2" i="33"/>
  <c r="F2" i="33"/>
  <c r="G2" i="33"/>
  <c r="H2" i="33"/>
  <c r="I2" i="33"/>
  <c r="J2" i="33"/>
  <c r="B2" i="33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2" i="32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2" i="27"/>
  <c r="K3" i="36" l="1"/>
</calcChain>
</file>

<file path=xl/sharedStrings.xml><?xml version="1.0" encoding="utf-8"?>
<sst xmlns="http://schemas.openxmlformats.org/spreadsheetml/2006/main" count="1093" uniqueCount="624">
  <si>
    <t>一、</t>
    <phoneticPr fontId="1" type="noConversion"/>
  </si>
  <si>
    <t>1、Vlookup函数语法</t>
    <phoneticPr fontId="1" type="noConversion"/>
  </si>
  <si>
    <t>VLOOKUP(lookup_value,table_array,col_index_num,[range_lookup])</t>
    <phoneticPr fontId="1" type="noConversion"/>
  </si>
  <si>
    <t>客户ID</t>
  </si>
  <si>
    <t>公司名称</t>
  </si>
  <si>
    <t>联系人姓名</t>
  </si>
  <si>
    <t>联系人头衔</t>
  </si>
  <si>
    <t>地址</t>
  </si>
  <si>
    <t>城市</t>
  </si>
  <si>
    <t>地区</t>
  </si>
  <si>
    <t>邮政编码</t>
  </si>
  <si>
    <t>国家</t>
  </si>
  <si>
    <t>电话</t>
  </si>
  <si>
    <t>传真</t>
  </si>
  <si>
    <t>AABBCCD</t>
  </si>
  <si>
    <t>三川实业有限公司</t>
  </si>
  <si>
    <t>刘小姐</t>
  </si>
  <si>
    <t>销售代表</t>
  </si>
  <si>
    <t>大崇明路 50 号</t>
  </si>
  <si>
    <t>天津</t>
  </si>
  <si>
    <t>华北</t>
  </si>
  <si>
    <t>343567</t>
  </si>
  <si>
    <t>中国</t>
  </si>
  <si>
    <t>(030) 30074321</t>
  </si>
  <si>
    <t>(030) 30765452</t>
  </si>
  <si>
    <t>ANATR</t>
  </si>
  <si>
    <t>东南实业</t>
  </si>
  <si>
    <t>王先生</t>
  </si>
  <si>
    <t>物主</t>
  </si>
  <si>
    <t>承德西路 80 号</t>
  </si>
  <si>
    <t>234575</t>
  </si>
  <si>
    <t>(030) 35554729</t>
  </si>
  <si>
    <t>(030) 35553744</t>
  </si>
  <si>
    <t>ANTON</t>
  </si>
  <si>
    <t>坦森行贸易</t>
  </si>
  <si>
    <t>王炫皓</t>
  </si>
  <si>
    <t>黄台北路 780 号</t>
  </si>
  <si>
    <t>石家庄</t>
  </si>
  <si>
    <t>985060</t>
  </si>
  <si>
    <t>(0321) 5553932</t>
  </si>
  <si>
    <t/>
  </si>
  <si>
    <t>AROUT</t>
  </si>
  <si>
    <t>国顶有限公司</t>
  </si>
  <si>
    <t>方先生</t>
  </si>
  <si>
    <t>天府东街 30 号</t>
  </si>
  <si>
    <t>深圳</t>
  </si>
  <si>
    <t>华南</t>
  </si>
  <si>
    <t>890879</t>
  </si>
  <si>
    <t>(0571) 45557788</t>
  </si>
  <si>
    <t>(0571) 45556750</t>
  </si>
  <si>
    <t>BERGS</t>
  </si>
  <si>
    <t>通恒机械</t>
  </si>
  <si>
    <t>黄小姐</t>
  </si>
  <si>
    <t>采购员</t>
  </si>
  <si>
    <t>东园西甲 30 号</t>
  </si>
  <si>
    <t>南京</t>
  </si>
  <si>
    <t>华东</t>
  </si>
  <si>
    <t>798089</t>
  </si>
  <si>
    <t>(0921) 9123465</t>
  </si>
  <si>
    <t>(0921) 55123467</t>
  </si>
  <si>
    <t>BLAUS</t>
  </si>
  <si>
    <t>森通</t>
  </si>
  <si>
    <t>常保阁东 80 号</t>
  </si>
  <si>
    <t>787045</t>
  </si>
  <si>
    <t>(030) 30058460</t>
  </si>
  <si>
    <t>(030)  33008924</t>
  </si>
  <si>
    <t>BLONP</t>
  </si>
  <si>
    <t>国皓</t>
  </si>
  <si>
    <t>黄雅玲</t>
  </si>
  <si>
    <t>市场经理</t>
  </si>
  <si>
    <t>广发北路 10 号</t>
  </si>
  <si>
    <t>大连</t>
  </si>
  <si>
    <t>东北</t>
  </si>
  <si>
    <t>565479</t>
  </si>
  <si>
    <t>(0671) 88601531</t>
  </si>
  <si>
    <t>(0671) 88601532</t>
  </si>
  <si>
    <t>BOLID</t>
  </si>
  <si>
    <t>迈多贸易</t>
  </si>
  <si>
    <t>陈先生</t>
  </si>
  <si>
    <t>临翠大街 80 号</t>
  </si>
  <si>
    <t>西安</t>
  </si>
  <si>
    <t>西北</t>
  </si>
  <si>
    <t>907987</t>
  </si>
  <si>
    <t>(091) 85552282</t>
  </si>
  <si>
    <t>(091) 85559199</t>
  </si>
  <si>
    <t>BONAP</t>
  </si>
  <si>
    <t>祥通</t>
  </si>
  <si>
    <t>刘先生</t>
  </si>
  <si>
    <t>花园东街 90 号</t>
  </si>
  <si>
    <t>重庆</t>
  </si>
  <si>
    <t>西南</t>
  </si>
  <si>
    <t>567690</t>
  </si>
  <si>
    <t>(078) 91244540</t>
  </si>
  <si>
    <t>(078) 91244541</t>
  </si>
  <si>
    <t>BOTTM</t>
  </si>
  <si>
    <t>广通</t>
  </si>
  <si>
    <t>结算经理</t>
  </si>
  <si>
    <t>平谷嘉石大街 38 号</t>
  </si>
  <si>
    <t>808059</t>
  </si>
  <si>
    <t>(078) 95554729</t>
  </si>
  <si>
    <t>(078) 95553745</t>
  </si>
  <si>
    <t>BSBEV</t>
  </si>
  <si>
    <t>光明杂志</t>
  </si>
  <si>
    <t>谢丽秋</t>
  </si>
  <si>
    <t>黄石路 50 号</t>
  </si>
  <si>
    <t>760908</t>
  </si>
  <si>
    <t>(0571) 45551212</t>
  </si>
  <si>
    <t>CACTU</t>
  </si>
  <si>
    <t>威航货运有限公司</t>
  </si>
  <si>
    <t>销售代理</t>
  </si>
  <si>
    <t>经七纬二路 13 号</t>
  </si>
  <si>
    <t>120412</t>
  </si>
  <si>
    <t>(061) 11355555</t>
  </si>
  <si>
    <t>(061) 11354892</t>
  </si>
  <si>
    <t>CENTC</t>
  </si>
  <si>
    <t>三捷实业</t>
  </si>
  <si>
    <t>英雄山路 84 号</t>
  </si>
  <si>
    <t>130083</t>
  </si>
  <si>
    <t>(061) 15553392</t>
  </si>
  <si>
    <t>CHOPS</t>
  </si>
  <si>
    <t>浩天旅行社</t>
  </si>
  <si>
    <t>白广路 314 号</t>
  </si>
  <si>
    <t>234254</t>
  </si>
  <si>
    <t>(030) 30076545</t>
  </si>
  <si>
    <t>COMMI</t>
  </si>
  <si>
    <t>同恒</t>
  </si>
  <si>
    <t>销售员</t>
  </si>
  <si>
    <t>七一路 37 号</t>
  </si>
  <si>
    <t>453466</t>
  </si>
  <si>
    <t>(030) 35557647</t>
  </si>
  <si>
    <t>CONSH</t>
  </si>
  <si>
    <t>万海</t>
  </si>
  <si>
    <t>林小姐</t>
  </si>
  <si>
    <t>劳动路 23 号</t>
  </si>
  <si>
    <t>厦门</t>
  </si>
  <si>
    <t>353467</t>
  </si>
  <si>
    <t>(071) 45552282</t>
  </si>
  <si>
    <t>(071) 45559199</t>
  </si>
  <si>
    <t>DRACD</t>
  </si>
  <si>
    <t>世邦</t>
  </si>
  <si>
    <t>黎先生</t>
  </si>
  <si>
    <t>光明东路 395 号</t>
  </si>
  <si>
    <t>海口</t>
  </si>
  <si>
    <t>454748</t>
  </si>
  <si>
    <t>(0241) 10391231</t>
  </si>
  <si>
    <t>(0241) 10594282</t>
  </si>
  <si>
    <t>DUMON</t>
  </si>
  <si>
    <t>迈策船舶</t>
  </si>
  <si>
    <t>王俊元</t>
  </si>
  <si>
    <t>沉香街 329 号</t>
  </si>
  <si>
    <t>常州</t>
  </si>
  <si>
    <t>565474</t>
  </si>
  <si>
    <t>(056) 40678888</t>
  </si>
  <si>
    <t>(056) 40678989</t>
  </si>
  <si>
    <t>EASTC</t>
  </si>
  <si>
    <t>中通</t>
  </si>
  <si>
    <t>光复北路 895 号</t>
  </si>
  <si>
    <t>809784</t>
  </si>
  <si>
    <t>(030) 35550297</t>
  </si>
  <si>
    <t>(030) 35553373</t>
  </si>
  <si>
    <t>ERNSH</t>
  </si>
  <si>
    <t>正人资源</t>
  </si>
  <si>
    <t>谢小姐</t>
  </si>
  <si>
    <t>销售经理</t>
  </si>
  <si>
    <t>临江东街 62 号</t>
  </si>
  <si>
    <t>906853</t>
  </si>
  <si>
    <t>(0571) 76753425</t>
  </si>
  <si>
    <t>(0571) 76753426</t>
  </si>
  <si>
    <t>FAMIA</t>
  </si>
  <si>
    <t>红阳事业</t>
  </si>
  <si>
    <t>市场助理</t>
  </si>
  <si>
    <t>外滩西路 238 号</t>
  </si>
  <si>
    <t>687759</t>
  </si>
  <si>
    <t>(0571) 75559857</t>
  </si>
  <si>
    <t>FISSA</t>
  </si>
  <si>
    <t>嘉元实业</t>
  </si>
  <si>
    <t>东湖大街 28 号</t>
  </si>
  <si>
    <t>458965</t>
  </si>
  <si>
    <t>(091) 25559444</t>
  </si>
  <si>
    <t>(091) 25555593</t>
  </si>
  <si>
    <t>FOLIG</t>
  </si>
  <si>
    <t>嘉业</t>
  </si>
  <si>
    <t>助理销售代理</t>
  </si>
  <si>
    <t>经三纬二路 8 号</t>
  </si>
  <si>
    <t>576906</t>
  </si>
  <si>
    <t>(0321) 20161016</t>
  </si>
  <si>
    <t>(0321) 20161017</t>
  </si>
  <si>
    <t>FOLKO</t>
  </si>
  <si>
    <t>五洲信托</t>
  </si>
  <si>
    <t>苏先生</t>
  </si>
  <si>
    <t>沿江北路 942 号</t>
  </si>
  <si>
    <t>876060</t>
  </si>
  <si>
    <t>(087) 69534671</t>
  </si>
  <si>
    <t>FRANK</t>
  </si>
  <si>
    <t>友恒信托</t>
  </si>
  <si>
    <t>余小姐</t>
  </si>
  <si>
    <t>经二路 9 号</t>
  </si>
  <si>
    <t>秦皇岛</t>
  </si>
  <si>
    <t>500798</t>
  </si>
  <si>
    <t>(089) 3877310</t>
  </si>
  <si>
    <t>(089) 3877451</t>
  </si>
  <si>
    <t>FRANR</t>
  </si>
  <si>
    <t>国银贸易</t>
  </si>
  <si>
    <t>辅城街 42 号</t>
  </si>
  <si>
    <t>546590</t>
  </si>
  <si>
    <t>(087) 40322121</t>
  </si>
  <si>
    <t>(087) 40322120</t>
  </si>
  <si>
    <t>FRANS</t>
  </si>
  <si>
    <t>文成</t>
  </si>
  <si>
    <t>唐小姐</t>
  </si>
  <si>
    <t>临江街 32 号</t>
  </si>
  <si>
    <t>820097</t>
  </si>
  <si>
    <t>(056) 34988260</t>
  </si>
  <si>
    <t>(056) 34988261</t>
  </si>
  <si>
    <t>FURIB</t>
  </si>
  <si>
    <t>康浦</t>
  </si>
  <si>
    <t>授业路 361 号</t>
  </si>
  <si>
    <t>964532</t>
  </si>
  <si>
    <t>(087) 43542534</t>
  </si>
  <si>
    <t>(087) 43542535</t>
  </si>
  <si>
    <t>GALED</t>
  </si>
  <si>
    <t>东旗</t>
  </si>
  <si>
    <t>尊石路 238 号</t>
  </si>
  <si>
    <t>411012</t>
  </si>
  <si>
    <t>(0571) 20334560</t>
  </si>
  <si>
    <t>(0571) 20334561</t>
  </si>
  <si>
    <t>GODOS</t>
  </si>
  <si>
    <t>建资</t>
  </si>
  <si>
    <t>广惠东路 38 号</t>
  </si>
  <si>
    <t>张家口</t>
  </si>
  <si>
    <t>242353</t>
  </si>
  <si>
    <t>(0922) 5558282</t>
  </si>
  <si>
    <t>GOURL</t>
  </si>
  <si>
    <t>业兴</t>
  </si>
  <si>
    <t>李柏麟</t>
  </si>
  <si>
    <t>淮河路 348 号</t>
  </si>
  <si>
    <t>上海</t>
  </si>
  <si>
    <t>241008</t>
  </si>
  <si>
    <t>(021) 85559482</t>
  </si>
  <si>
    <t>GREAL</t>
  </si>
  <si>
    <t>仪和贸易</t>
  </si>
  <si>
    <t>经三纬四路 18 号</t>
  </si>
  <si>
    <t>北京</t>
  </si>
  <si>
    <t>120475</t>
  </si>
  <si>
    <t>(010) 65557555</t>
  </si>
  <si>
    <t>GROSR</t>
  </si>
  <si>
    <t>光远商贸</t>
  </si>
  <si>
    <t>成川东街 951 号</t>
  </si>
  <si>
    <t>122096</t>
  </si>
  <si>
    <t>(030) 32832951</t>
  </si>
  <si>
    <t>(030) 32833397</t>
  </si>
  <si>
    <t>HANAR</t>
  </si>
  <si>
    <t>实翼</t>
  </si>
  <si>
    <t>永惠西街 392 号</t>
  </si>
  <si>
    <t>南昌</t>
  </si>
  <si>
    <t>674674</t>
  </si>
  <si>
    <t>(0211) 5550091</t>
  </si>
  <si>
    <t>(0211) 5558765</t>
  </si>
  <si>
    <t>HILAA</t>
  </si>
  <si>
    <t>远东开发</t>
  </si>
  <si>
    <t>崇盛路 82 号</t>
  </si>
  <si>
    <t>498045</t>
  </si>
  <si>
    <t>(0571) 75551340</t>
  </si>
  <si>
    <t>(0571) 75551948</t>
  </si>
  <si>
    <t>HUNGC</t>
  </si>
  <si>
    <t>五金机械</t>
  </si>
  <si>
    <t>德昌路甲 29 号</t>
  </si>
  <si>
    <t>564576</t>
  </si>
  <si>
    <t>(053) 5556874</t>
  </si>
  <si>
    <t>(053) 5552376</t>
  </si>
  <si>
    <t>HUNGO</t>
  </si>
  <si>
    <t>师大贸易</t>
  </si>
  <si>
    <t>黄岗北路 73 号</t>
  </si>
  <si>
    <t>683045</t>
  </si>
  <si>
    <t>(030) 29672542</t>
  </si>
  <si>
    <t>(030) 29673333</t>
  </si>
  <si>
    <t>ISLAT</t>
  </si>
  <si>
    <t>鑫增贸易</t>
  </si>
  <si>
    <t>周先生</t>
  </si>
  <si>
    <t>东府大街 31 号</t>
  </si>
  <si>
    <t>502255</t>
  </si>
  <si>
    <t>(091) 65558888</t>
  </si>
  <si>
    <t>KOENE</t>
  </si>
  <si>
    <t>永业房屋</t>
  </si>
  <si>
    <t>东园大路 78 号</t>
  </si>
  <si>
    <t>101057</t>
  </si>
  <si>
    <t>(025) 55509876</t>
  </si>
  <si>
    <t>LACOR</t>
  </si>
  <si>
    <t>霸力建设</t>
  </si>
  <si>
    <t>东岗大路 9 号</t>
  </si>
  <si>
    <t>048766</t>
  </si>
  <si>
    <t>(025) 30598410</t>
  </si>
  <si>
    <t>(025) 30598511</t>
  </si>
  <si>
    <t>LAMAI</t>
  </si>
  <si>
    <t>池春建设</t>
  </si>
  <si>
    <t>青年南街 291 号</t>
  </si>
  <si>
    <t>502564</t>
  </si>
  <si>
    <t>(030) 61776110</t>
  </si>
  <si>
    <t>(030) 61776111</t>
  </si>
  <si>
    <t>LAUGB</t>
  </si>
  <si>
    <t>和福建设</t>
  </si>
  <si>
    <t>创业西路 238 号</t>
  </si>
  <si>
    <t>055654</t>
  </si>
  <si>
    <t>(030) 15553392</t>
  </si>
  <si>
    <t>(030) 15557293</t>
  </si>
  <si>
    <t>LAZYK</t>
  </si>
  <si>
    <t>春永建设</t>
  </si>
  <si>
    <t>劳动辅路 395 号</t>
  </si>
  <si>
    <t>013056</t>
  </si>
  <si>
    <t>(0571) 35557969</t>
  </si>
  <si>
    <t>(0571) 35556221</t>
  </si>
  <si>
    <t>LEHMS</t>
  </si>
  <si>
    <t>幸义房屋</t>
  </si>
  <si>
    <t>七一路 89 号</t>
  </si>
  <si>
    <t>167556</t>
  </si>
  <si>
    <t>(069) 20245984</t>
  </si>
  <si>
    <t>(069) 20245874</t>
  </si>
  <si>
    <t>LETSS</t>
  </si>
  <si>
    <t>兴中保险</t>
  </si>
  <si>
    <t>豪威西路 238 号</t>
  </si>
  <si>
    <t>750165</t>
  </si>
  <si>
    <t>(0415) 5555938</t>
  </si>
  <si>
    <t>LILAS</t>
  </si>
  <si>
    <t>富泰人寿</t>
  </si>
  <si>
    <t>光伦东路 381 号</t>
  </si>
  <si>
    <t>995085</t>
  </si>
  <si>
    <t>(030) 33116954</t>
  </si>
  <si>
    <t>(030) 33117256</t>
  </si>
  <si>
    <t>LINOD</t>
  </si>
  <si>
    <t>保信人寿</t>
  </si>
  <si>
    <t>创业北路 32 号</t>
  </si>
  <si>
    <t>301256</t>
  </si>
  <si>
    <t>(0899) 3345612</t>
  </si>
  <si>
    <t>(0899) 3349393</t>
  </si>
  <si>
    <t>LONEP</t>
  </si>
  <si>
    <t>正太实业</t>
  </si>
  <si>
    <t>林慧音</t>
  </si>
  <si>
    <t>花园西街 28 号</t>
  </si>
  <si>
    <t>440875</t>
  </si>
  <si>
    <t>(030) 25559573</t>
  </si>
  <si>
    <t>(030) 25559646</t>
  </si>
  <si>
    <t>MAGAA</t>
  </si>
  <si>
    <t>阳林</t>
  </si>
  <si>
    <t>城东大街 47 号</t>
  </si>
  <si>
    <t>801056</t>
  </si>
  <si>
    <t>(0571) 36402300</t>
  </si>
  <si>
    <t>(0571) 36402311</t>
  </si>
  <si>
    <t>MAISD</t>
  </si>
  <si>
    <t>悦海</t>
  </si>
  <si>
    <t>陈玉美</t>
  </si>
  <si>
    <t>八一路 384 号</t>
  </si>
  <si>
    <t>青岛</t>
  </si>
  <si>
    <t>054356</t>
  </si>
  <si>
    <t>(0217) 2012467</t>
  </si>
  <si>
    <t>(0217) 2012468</t>
  </si>
  <si>
    <t>MEREP</t>
  </si>
  <si>
    <t>华科</t>
  </si>
  <si>
    <t>吴小姐</t>
  </si>
  <si>
    <t>和光北路 952 号</t>
  </si>
  <si>
    <t>280235</t>
  </si>
  <si>
    <t>(0514) 5558054</t>
  </si>
  <si>
    <t>(0514) 5558055</t>
  </si>
  <si>
    <t>MORGK</t>
  </si>
  <si>
    <t>仲堂企业</t>
  </si>
  <si>
    <t>徐文彬</t>
  </si>
  <si>
    <t>创业街 57 号</t>
  </si>
  <si>
    <t>440007</t>
  </si>
  <si>
    <t>(030) 34202376</t>
  </si>
  <si>
    <t>NORTS</t>
  </si>
  <si>
    <t>富同企业</t>
  </si>
  <si>
    <t>广西路 24 号</t>
  </si>
  <si>
    <t>780008</t>
  </si>
  <si>
    <t>(031) 5557733</t>
  </si>
  <si>
    <t>(031) 555-2530</t>
  </si>
  <si>
    <t>OCEAN</t>
  </si>
  <si>
    <t>利合材料</t>
  </si>
  <si>
    <t>东临大街 32 号</t>
  </si>
  <si>
    <t>780005</t>
  </si>
  <si>
    <t>(0117) 1355333</t>
  </si>
  <si>
    <t>(0117) 1355535</t>
  </si>
  <si>
    <t>OLDWO</t>
  </si>
  <si>
    <t>瑞栈工艺</t>
  </si>
  <si>
    <t>创业路 361 号</t>
  </si>
  <si>
    <t>825777</t>
  </si>
  <si>
    <t>(097) 5557584</t>
  </si>
  <si>
    <t>(097) 555-2880</t>
  </si>
  <si>
    <t>OTTIK</t>
  </si>
  <si>
    <t>一诠精密工业</t>
  </si>
  <si>
    <t>基石路 238 号</t>
  </si>
  <si>
    <t>687578</t>
  </si>
  <si>
    <t>(0571) 10644327</t>
  </si>
  <si>
    <t>(0571) 10765721</t>
  </si>
  <si>
    <t>PARIS</t>
  </si>
  <si>
    <t>立日股份有限公司</t>
  </si>
  <si>
    <t>惠安大路 38 号</t>
  </si>
  <si>
    <t>502299</t>
  </si>
  <si>
    <t>(031) 4234226</t>
  </si>
  <si>
    <t>(031) 4234227</t>
  </si>
  <si>
    <t>PERIC</t>
  </si>
  <si>
    <t>就业广兑</t>
  </si>
  <si>
    <t>淮水路 348 号</t>
  </si>
  <si>
    <t>786785</t>
  </si>
  <si>
    <t>(030) 55223745</t>
  </si>
  <si>
    <t>(030) 55453745</t>
  </si>
  <si>
    <t>PICCO</t>
  </si>
  <si>
    <t>顶上系统</t>
  </si>
  <si>
    <t>纬四路 523 号</t>
  </si>
  <si>
    <t>907077</t>
  </si>
  <si>
    <t>(056) 6562722</t>
  </si>
  <si>
    <t>(056) 6562723</t>
  </si>
  <si>
    <t>PRINI</t>
  </si>
  <si>
    <t>康毅系统</t>
  </si>
  <si>
    <t>林彩瑜</t>
  </si>
  <si>
    <t>成东大街 951 号</t>
  </si>
  <si>
    <t>801070</t>
  </si>
  <si>
    <t>(019) 3565634</t>
  </si>
  <si>
    <t>QUEDE</t>
  </si>
  <si>
    <t>兰格英语</t>
  </si>
  <si>
    <t>广安南街 82 号</t>
  </si>
  <si>
    <t>785678</t>
  </si>
  <si>
    <t>(010) 65554252</t>
  </si>
  <si>
    <t>(010) 65554545</t>
  </si>
  <si>
    <t>QUEEN</t>
  </si>
  <si>
    <t>留学服务中心</t>
  </si>
  <si>
    <t>赵小姐</t>
  </si>
  <si>
    <t>定成路 92 号</t>
  </si>
  <si>
    <t>785878</t>
  </si>
  <si>
    <t>(010) 85551189</t>
  </si>
  <si>
    <t>QUICK</t>
  </si>
  <si>
    <t>高上补习班</t>
  </si>
  <si>
    <t>徐先生</t>
  </si>
  <si>
    <t>广场路 205 号</t>
  </si>
  <si>
    <t>787869</t>
  </si>
  <si>
    <t>(030) 72035188</t>
  </si>
  <si>
    <t>RANCH</t>
  </si>
  <si>
    <t>大东补习班</t>
  </si>
  <si>
    <t>陈小姐</t>
  </si>
  <si>
    <t>创业东路 38 号</t>
  </si>
  <si>
    <t>837207</t>
  </si>
  <si>
    <t>(0571) 51235555</t>
  </si>
  <si>
    <t>(0571) 51235556</t>
  </si>
  <si>
    <t>RATTC</t>
  </si>
  <si>
    <t>学仁贸易</t>
  </si>
  <si>
    <t>助理销售代表</t>
  </si>
  <si>
    <t>辅城路 601 号</t>
  </si>
  <si>
    <t>温州</t>
  </si>
  <si>
    <t>837209</t>
  </si>
  <si>
    <t>(055) 5555939</t>
  </si>
  <si>
    <t>(055) 5553620</t>
  </si>
  <si>
    <t>REGGC</t>
  </si>
  <si>
    <t>建国科技</t>
  </si>
  <si>
    <t>肥水路 93 号</t>
  </si>
  <si>
    <t>345256</t>
  </si>
  <si>
    <t>(030) 52256721</t>
  </si>
  <si>
    <t>(030) 52256722</t>
  </si>
  <si>
    <t>RICAR</t>
  </si>
  <si>
    <t>宇欣实业</t>
  </si>
  <si>
    <t>大峪口街 702 号</t>
  </si>
  <si>
    <t>101046</t>
  </si>
  <si>
    <t>(030) 45553412</t>
  </si>
  <si>
    <t>RICSU</t>
  </si>
  <si>
    <t>永大企业</t>
  </si>
  <si>
    <t>港务口街 29 号</t>
  </si>
  <si>
    <t>478668</t>
  </si>
  <si>
    <t>(089) 7034214</t>
  </si>
  <si>
    <t>ROMEY</t>
  </si>
  <si>
    <t>德化食品</t>
  </si>
  <si>
    <t>劝业路 103 号</t>
  </si>
  <si>
    <t>871108</t>
  </si>
  <si>
    <t>(030) 74546200</t>
  </si>
  <si>
    <t>(030) 77456210</t>
  </si>
  <si>
    <t>SANTG</t>
  </si>
  <si>
    <t>汉光企管</t>
  </si>
  <si>
    <t>成前路 116 号</t>
  </si>
  <si>
    <t>027773</t>
  </si>
  <si>
    <t>(071) 98923542</t>
  </si>
  <si>
    <t>(071) 98924744</t>
  </si>
  <si>
    <t>SAVEA</t>
  </si>
  <si>
    <t>大钰贸易</t>
  </si>
  <si>
    <t>胡继尧</t>
  </si>
  <si>
    <t>冠成园路 321 号</t>
  </si>
  <si>
    <t>801023</t>
  </si>
  <si>
    <t>(071) 85558097</t>
  </si>
  <si>
    <t>SEVES</t>
  </si>
  <si>
    <t>艾德高科技</t>
  </si>
  <si>
    <t>起义路 231 号</t>
  </si>
  <si>
    <t>013072</t>
  </si>
  <si>
    <t>(030) 55657717</t>
  </si>
  <si>
    <t>(030) 55655646</t>
  </si>
  <si>
    <t>SIMOB</t>
  </si>
  <si>
    <t>百达电子</t>
  </si>
  <si>
    <t>黄口江路 521 号</t>
  </si>
  <si>
    <t>972077</t>
  </si>
  <si>
    <t>(030) 31123456</t>
  </si>
  <si>
    <t>(030) 31133557</t>
  </si>
  <si>
    <t>SPECD</t>
  </si>
  <si>
    <t>赐芳股份</t>
  </si>
  <si>
    <t>车站东路 831 号</t>
  </si>
  <si>
    <t>899453</t>
  </si>
  <si>
    <t>(0177) 4755601</t>
  </si>
  <si>
    <t>(1177) 4755602</t>
  </si>
  <si>
    <t>SPLIR</t>
  </si>
  <si>
    <t>昇昕股份有限公司</t>
  </si>
  <si>
    <t>车站南路 721 号</t>
  </si>
  <si>
    <t>820077</t>
  </si>
  <si>
    <t>(0571) 35554680</t>
  </si>
  <si>
    <t>(0571) 35556525</t>
  </si>
  <si>
    <t>SUPRD</t>
  </si>
  <si>
    <t>福星制衣厂股份有限公司</t>
  </si>
  <si>
    <t>机场东路 951 号</t>
  </si>
  <si>
    <t>050337</t>
  </si>
  <si>
    <t>(030) 23672220</t>
  </si>
  <si>
    <t>(030) 23672221</t>
  </si>
  <si>
    <t>THEBI</t>
  </si>
  <si>
    <t>上河工业</t>
  </si>
  <si>
    <t>车站路 631 号</t>
  </si>
  <si>
    <t>013077</t>
  </si>
  <si>
    <t>(053) 5553612</t>
  </si>
  <si>
    <t>THECR</t>
  </si>
  <si>
    <t>新巨企业</t>
  </si>
  <si>
    <t>成先生</t>
  </si>
  <si>
    <t>车站西路 391 号</t>
  </si>
  <si>
    <t>成都</t>
  </si>
  <si>
    <t>350894</t>
  </si>
  <si>
    <t>(046) 55565834</t>
  </si>
  <si>
    <t>(046) 55568083</t>
  </si>
  <si>
    <t>TOMSP</t>
  </si>
  <si>
    <t>东帝望</t>
  </si>
  <si>
    <t>起义路甲 921 号</t>
  </si>
  <si>
    <t>474747</t>
  </si>
  <si>
    <t>(0251) 1031259</t>
  </si>
  <si>
    <t>(0251) 1035695</t>
  </si>
  <si>
    <t>TORTU</t>
  </si>
  <si>
    <t>协昌妮绒有限公司</t>
  </si>
  <si>
    <t>长春路 371 号</t>
  </si>
  <si>
    <t>507392</t>
  </si>
  <si>
    <t>(030) 45552933</t>
  </si>
  <si>
    <t>TRADH</t>
  </si>
  <si>
    <t>亚太公司</t>
  </si>
  <si>
    <t>石碑路丁 211 号</t>
  </si>
  <si>
    <t>871102</t>
  </si>
  <si>
    <t>(031) 55562167</t>
  </si>
  <si>
    <t>(031) 55562168</t>
  </si>
  <si>
    <t>TRAIH</t>
  </si>
  <si>
    <t>伸格公司</t>
  </si>
  <si>
    <t>石碑路甲 141 号</t>
  </si>
  <si>
    <t>342356</t>
  </si>
  <si>
    <t>(0571) 55518257</t>
  </si>
  <si>
    <t>(0571) 55512174</t>
  </si>
  <si>
    <t>VAFFE</t>
  </si>
  <si>
    <t>中硕贸易</t>
  </si>
  <si>
    <t>威成路 321 号</t>
  </si>
  <si>
    <t>837206</t>
  </si>
  <si>
    <t>(0571) 86213243</t>
  </si>
  <si>
    <t>(0571) 86223344</t>
  </si>
  <si>
    <t>VICTE</t>
  </si>
  <si>
    <t>千固</t>
  </si>
  <si>
    <t>明成西街 471 号</t>
  </si>
  <si>
    <t>598018</t>
  </si>
  <si>
    <t>(071) 8325486</t>
  </si>
  <si>
    <t>(071) 8325487</t>
  </si>
  <si>
    <t>VINET</t>
  </si>
  <si>
    <t>山泰企业</t>
  </si>
  <si>
    <t>舜井街 561 号</t>
  </si>
  <si>
    <t>575909</t>
  </si>
  <si>
    <t>(030) 26471510</t>
  </si>
  <si>
    <t>(030) 26471511</t>
  </si>
  <si>
    <t>WANDK</t>
  </si>
  <si>
    <t>凯旋科技</t>
  </si>
  <si>
    <t>使馆路 371 号</t>
  </si>
  <si>
    <t>212400</t>
  </si>
  <si>
    <t>(030) 71100361</t>
  </si>
  <si>
    <t>(030) 07115428</t>
  </si>
  <si>
    <t>WARTH</t>
  </si>
  <si>
    <t>升格企业</t>
  </si>
  <si>
    <t>黄池路 931 号</t>
  </si>
  <si>
    <t>974030</t>
  </si>
  <si>
    <t>(031) 9814655</t>
  </si>
  <si>
    <t>(031) 9813655</t>
  </si>
  <si>
    <t>WELLI</t>
  </si>
  <si>
    <t>凯诚国际顾问公司</t>
  </si>
  <si>
    <t>威刚街 481 号</t>
  </si>
  <si>
    <t>175600</t>
  </si>
  <si>
    <t>(0571) 35558122</t>
  </si>
  <si>
    <t>WHITC</t>
  </si>
  <si>
    <t>椅天文化事业</t>
  </si>
  <si>
    <t>花园西路 831 号</t>
  </si>
  <si>
    <t>860954</t>
  </si>
  <si>
    <t>(026) 5554112</t>
  </si>
  <si>
    <t>WILMK</t>
  </si>
  <si>
    <t>志远有限公司</t>
  </si>
  <si>
    <t>王小姐</t>
  </si>
  <si>
    <t>物主/市场助理</t>
  </si>
  <si>
    <t>光明北路 211 号</t>
  </si>
  <si>
    <t>411019</t>
  </si>
  <si>
    <t>(023) 9022458</t>
  </si>
  <si>
    <t>WOLZA</t>
  </si>
  <si>
    <t>汉典电机</t>
  </si>
  <si>
    <t>潼关路 41 号</t>
  </si>
  <si>
    <t>421008</t>
  </si>
  <si>
    <t>(030) 56427012</t>
  </si>
  <si>
    <t>(061) 15557293</t>
    <phoneticPr fontId="1" type="noConversion"/>
  </si>
  <si>
    <t>物主</t>
    <phoneticPr fontId="1" type="noConversion"/>
  </si>
  <si>
    <t>回顾Vlookup函数</t>
    <phoneticPr fontId="1" type="noConversion"/>
  </si>
  <si>
    <t>二、</t>
    <phoneticPr fontId="1" type="noConversion"/>
  </si>
  <si>
    <t>Match与Index函数</t>
    <phoneticPr fontId="1" type="noConversion"/>
  </si>
  <si>
    <t>1、函数语法</t>
    <phoneticPr fontId="1" type="noConversion"/>
  </si>
  <si>
    <t>MATCH(lookup_value,lookup_array,[match_type])</t>
    <phoneticPr fontId="1" type="noConversion"/>
  </si>
  <si>
    <t>INDEX(array,row_num,[column_num])</t>
    <phoneticPr fontId="1" type="noConversion"/>
  </si>
  <si>
    <t>2、Match+Index与Vlookup函数比较</t>
    <phoneticPr fontId="1" type="noConversion"/>
  </si>
  <si>
    <t>3、使用Match与Vlookup函数嵌套返回多列结果</t>
    <phoneticPr fontId="1" type="noConversion"/>
  </si>
  <si>
    <t>4、认识column函数</t>
    <phoneticPr fontId="1" type="noConversion"/>
  </si>
  <si>
    <t>CHOPS</t>
    <phoneticPr fontId="6" type="noConversion"/>
  </si>
  <si>
    <t>ERNSH</t>
    <phoneticPr fontId="6" type="noConversion"/>
  </si>
  <si>
    <t>HANAR</t>
    <phoneticPr fontId="6" type="noConversion"/>
  </si>
  <si>
    <t>ANTON</t>
    <phoneticPr fontId="6" type="noConversion"/>
  </si>
  <si>
    <t>LAUGB</t>
    <phoneticPr fontId="6" type="noConversion"/>
  </si>
  <si>
    <t>LAZYK</t>
    <phoneticPr fontId="6" type="noConversion"/>
  </si>
  <si>
    <t>LEHMS</t>
    <phoneticPr fontId="6" type="noConversion"/>
  </si>
  <si>
    <t>男</t>
    <phoneticPr fontId="1" type="noConversion"/>
  </si>
  <si>
    <t>女</t>
    <phoneticPr fontId="1" type="noConversion"/>
  </si>
  <si>
    <t>姓名</t>
    <phoneticPr fontId="1" type="noConversion"/>
  </si>
  <si>
    <t>性别</t>
    <phoneticPr fontId="1" type="noConversion"/>
  </si>
  <si>
    <t>图片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</si>
</sst>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quotePrefix="1" applyFont="1" applyProtection="1">
      <protection locked="0"/>
    </xf>
    <xf numFmtId="0" fontId="5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7" fillId="2" borderId="2" xfId="0" applyFont="1" applyFill="1" applyBorder="1" applyAlignment="1">
      <alignment horizontal="center"/>
    </xf>
    <xf numFmtId="0" fontId="7" fillId="0" borderId="4" xfId="0" applyFont="1" applyBorder="1" applyAlignment="1">
      <alignment wrapText="1"/>
    </xf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4" fillId="0" borderId="5" xfId="0" applyFont="1" applyBorder="1"/>
    <xf numFmtId="0" fontId="4" fillId="0" borderId="8" xfId="0" applyFont="1" applyBorder="1"/>
    <xf numFmtId="0" fontId="4" fillId="0" borderId="10" xfId="0" applyFont="1" applyBorder="1"/>
  </cellXfs>
  <cellStyles count="2">
    <cellStyle name="常规" xfId="0" builtinId="0"/>
    <cellStyle name="常规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249955</xdr:colOff>
      <xdr:row>6</xdr:row>
      <xdr:rowOff>164700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801" y="19051"/>
          <a:ext cx="4602879" cy="1231499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</xdr:rowOff>
    </xdr:from>
    <xdr:to>
      <xdr:col>7</xdr:col>
      <xdr:colOff>651661</xdr:colOff>
      <xdr:row>0</xdr:row>
      <xdr:rowOff>478693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D1ED095-B67C-777F-4C28-2038FCABD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1"/>
          <a:ext cx="651661" cy="47869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87565</xdr:colOff>
      <xdr:row>2</xdr:row>
      <xdr:rowOff>58616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ECA5866-D3A8-184A-2411-E00699A53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488462"/>
          <a:ext cx="746988" cy="54707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</xdr:rowOff>
    </xdr:from>
    <xdr:to>
      <xdr:col>8</xdr:col>
      <xdr:colOff>73269</xdr:colOff>
      <xdr:row>3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A7D4691-2561-DD10-BF0C-F51292C9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976924"/>
          <a:ext cx="732692" cy="48846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653073</xdr:colOff>
          <xdr:row>2</xdr:row>
          <xdr:rowOff>0</xdr:rowOff>
        </xdr:from>
        <xdr:to>
          <xdr:col>11</xdr:col>
          <xdr:colOff>0</xdr:colOff>
          <xdr:row>3</xdr:row>
          <xdr:rowOff>0</xdr:rowOff>
        </xdr:to>
        <xdr:pic>
          <xdr:nvPicPr>
            <xdr:cNvPr id="9" name="图片 8">
              <a:extLst>
                <a:ext uri="{FF2B5EF4-FFF2-40B4-BE49-F238E27FC236}">
                  <a16:creationId xmlns:a16="http://schemas.microsoft.com/office/drawing/2014/main" id="{D0A20ECD-5636-45D3-E9F1-2C8DA57201E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图片" spid="_x0000_s819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587881" y="976923"/>
              <a:ext cx="665773" cy="48846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E29"/>
  <sheetViews>
    <sheetView topLeftCell="A4" zoomScaleNormal="100" workbookViewId="0">
      <selection activeCell="G19" sqref="G19"/>
    </sheetView>
  </sheetViews>
  <sheetFormatPr defaultColWidth="9" defaultRowHeight="15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3" s="2" customFormat="1" ht="15.5" thickBot="1" x14ac:dyDescent="0.3"/>
    <row r="8" spans="1:3" ht="15.5" thickTop="1" x14ac:dyDescent="0.25"/>
    <row r="9" spans="1:3" s="3" customFormat="1" ht="13" x14ac:dyDescent="0.25">
      <c r="A9" s="3" t="s">
        <v>0</v>
      </c>
      <c r="B9" s="4" t="s">
        <v>603</v>
      </c>
    </row>
    <row r="10" spans="1:3" s="3" customFormat="1" ht="13" x14ac:dyDescent="0.25"/>
    <row r="11" spans="1:3" s="3" customFormat="1" ht="13" x14ac:dyDescent="0.25">
      <c r="B11" s="3" t="s">
        <v>1</v>
      </c>
    </row>
    <row r="12" spans="1:3" s="3" customFormat="1" ht="13" x14ac:dyDescent="0.25">
      <c r="C12" s="5" t="s">
        <v>2</v>
      </c>
    </row>
    <row r="13" spans="1:3" s="3" customFormat="1" ht="13" x14ac:dyDescent="0.25"/>
    <row r="14" spans="1:3" s="3" customFormat="1" ht="13" x14ac:dyDescent="0.25"/>
    <row r="15" spans="1:3" s="3" customFormat="1" ht="13" x14ac:dyDescent="0.25"/>
    <row r="16" spans="1:3" s="3" customFormat="1" ht="13" x14ac:dyDescent="0.25">
      <c r="A16" s="3" t="s">
        <v>604</v>
      </c>
      <c r="B16" s="4" t="s">
        <v>605</v>
      </c>
    </row>
    <row r="17" spans="2:5" s="3" customFormat="1" ht="13" x14ac:dyDescent="0.25"/>
    <row r="18" spans="2:5" s="3" customFormat="1" ht="13" x14ac:dyDescent="0.25">
      <c r="B18" s="3" t="s">
        <v>606</v>
      </c>
    </row>
    <row r="19" spans="2:5" s="3" customFormat="1" ht="13" x14ac:dyDescent="0.25">
      <c r="C19" s="3" t="s">
        <v>607</v>
      </c>
    </row>
    <row r="20" spans="2:5" s="3" customFormat="1" ht="13" x14ac:dyDescent="0.25">
      <c r="C20" s="3" t="s">
        <v>608</v>
      </c>
    </row>
    <row r="21" spans="2:5" s="3" customFormat="1" ht="13" x14ac:dyDescent="0.25"/>
    <row r="22" spans="2:5" s="3" customFormat="1" ht="13" x14ac:dyDescent="0.25"/>
    <row r="23" spans="2:5" s="3" customFormat="1" ht="13" x14ac:dyDescent="0.25">
      <c r="B23" s="3" t="s">
        <v>609</v>
      </c>
    </row>
    <row r="24" spans="2:5" s="3" customFormat="1" ht="13" x14ac:dyDescent="0.25"/>
    <row r="25" spans="2:5" x14ac:dyDescent="0.25">
      <c r="B25" s="3"/>
      <c r="E25" s="3"/>
    </row>
    <row r="26" spans="2:5" x14ac:dyDescent="0.25">
      <c r="B26" s="3" t="s">
        <v>610</v>
      </c>
      <c r="E26" s="3"/>
    </row>
    <row r="27" spans="2:5" x14ac:dyDescent="0.25">
      <c r="E27" s="3"/>
    </row>
    <row r="29" spans="2:5" x14ac:dyDescent="0.25">
      <c r="B29" s="3" t="s">
        <v>611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topLeftCell="A7" workbookViewId="0">
      <selection activeCell="K11" sqref="K11"/>
    </sheetView>
  </sheetViews>
  <sheetFormatPr defaultRowHeight="15" x14ac:dyDescent="0.25"/>
  <cols>
    <col min="2" max="2" width="15" customWidth="1"/>
  </cols>
  <sheetData>
    <row r="1" spans="1:11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</row>
    <row r="2" spans="1:11" x14ac:dyDescent="0.2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</row>
    <row r="3" spans="1:11" x14ac:dyDescent="0.25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19</v>
      </c>
      <c r="G3" s="8" t="s">
        <v>20</v>
      </c>
      <c r="H3" s="8" t="s">
        <v>30</v>
      </c>
      <c r="I3" s="8" t="s">
        <v>22</v>
      </c>
      <c r="J3" s="8" t="s">
        <v>31</v>
      </c>
      <c r="K3" s="8" t="s">
        <v>32</v>
      </c>
    </row>
    <row r="4" spans="1:11" x14ac:dyDescent="0.25">
      <c r="A4" s="8" t="s">
        <v>33</v>
      </c>
      <c r="B4" s="8" t="s">
        <v>34</v>
      </c>
      <c r="C4" s="8" t="s">
        <v>35</v>
      </c>
      <c r="D4" s="8" t="s">
        <v>28</v>
      </c>
      <c r="E4" s="8" t="s">
        <v>36</v>
      </c>
      <c r="F4" s="8" t="s">
        <v>37</v>
      </c>
      <c r="G4" s="8" t="s">
        <v>20</v>
      </c>
      <c r="H4" s="8" t="s">
        <v>38</v>
      </c>
      <c r="I4" s="8" t="s">
        <v>22</v>
      </c>
      <c r="J4" s="8" t="s">
        <v>39</v>
      </c>
      <c r="K4" s="8" t="s">
        <v>40</v>
      </c>
    </row>
    <row r="5" spans="1:11" x14ac:dyDescent="0.25">
      <c r="A5" s="8" t="s">
        <v>41</v>
      </c>
      <c r="B5" s="8" t="s">
        <v>42</v>
      </c>
      <c r="C5" s="8" t="s">
        <v>43</v>
      </c>
      <c r="D5" s="8" t="s">
        <v>17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22</v>
      </c>
      <c r="J5" s="8" t="s">
        <v>48</v>
      </c>
      <c r="K5" s="8" t="s">
        <v>49</v>
      </c>
    </row>
    <row r="6" spans="1:11" x14ac:dyDescent="0.25">
      <c r="A6" s="8" t="s">
        <v>50</v>
      </c>
      <c r="B6" s="8" t="s">
        <v>51</v>
      </c>
      <c r="C6" s="8" t="s">
        <v>52</v>
      </c>
      <c r="D6" s="8" t="s">
        <v>53</v>
      </c>
      <c r="E6" s="8" t="s">
        <v>54</v>
      </c>
      <c r="F6" s="8" t="s">
        <v>55</v>
      </c>
      <c r="G6" s="8" t="s">
        <v>56</v>
      </c>
      <c r="H6" s="8" t="s">
        <v>57</v>
      </c>
      <c r="I6" s="8" t="s">
        <v>22</v>
      </c>
      <c r="J6" s="8" t="s">
        <v>58</v>
      </c>
      <c r="K6" s="8" t="s">
        <v>59</v>
      </c>
    </row>
    <row r="7" spans="1:11" x14ac:dyDescent="0.25">
      <c r="A7" s="8" t="s">
        <v>60</v>
      </c>
      <c r="B7" s="8" t="s">
        <v>61</v>
      </c>
      <c r="C7" s="8" t="s">
        <v>27</v>
      </c>
      <c r="D7" s="8" t="s">
        <v>17</v>
      </c>
      <c r="E7" s="8" t="s">
        <v>62</v>
      </c>
      <c r="F7" s="8" t="s">
        <v>19</v>
      </c>
      <c r="G7" s="8" t="s">
        <v>20</v>
      </c>
      <c r="H7" s="8" t="s">
        <v>63</v>
      </c>
      <c r="I7" s="8" t="s">
        <v>22</v>
      </c>
      <c r="J7" s="8" t="s">
        <v>64</v>
      </c>
      <c r="K7" s="8" t="s">
        <v>65</v>
      </c>
    </row>
    <row r="8" spans="1:11" x14ac:dyDescent="0.25">
      <c r="A8" s="8" t="s">
        <v>66</v>
      </c>
      <c r="B8" s="8" t="s">
        <v>67</v>
      </c>
      <c r="C8" s="8" t="s">
        <v>68</v>
      </c>
      <c r="D8" s="8" t="s">
        <v>69</v>
      </c>
      <c r="E8" s="8" t="s">
        <v>70</v>
      </c>
      <c r="F8" s="8" t="s">
        <v>71</v>
      </c>
      <c r="G8" s="8" t="s">
        <v>72</v>
      </c>
      <c r="H8" s="8" t="s">
        <v>73</v>
      </c>
      <c r="I8" s="8" t="s">
        <v>22</v>
      </c>
      <c r="J8" s="8" t="s">
        <v>74</v>
      </c>
      <c r="K8" s="8" t="s">
        <v>75</v>
      </c>
    </row>
    <row r="9" spans="1:11" x14ac:dyDescent="0.25">
      <c r="A9" s="8" t="s">
        <v>76</v>
      </c>
      <c r="B9" s="8" t="s">
        <v>77</v>
      </c>
      <c r="C9" s="8" t="s">
        <v>78</v>
      </c>
      <c r="D9" s="8" t="s">
        <v>28</v>
      </c>
      <c r="E9" s="8" t="s">
        <v>79</v>
      </c>
      <c r="F9" s="8" t="s">
        <v>80</v>
      </c>
      <c r="G9" s="8" t="s">
        <v>81</v>
      </c>
      <c r="H9" s="8" t="s">
        <v>82</v>
      </c>
      <c r="I9" s="8" t="s">
        <v>22</v>
      </c>
      <c r="J9" s="8" t="s">
        <v>83</v>
      </c>
      <c r="K9" s="8" t="s">
        <v>84</v>
      </c>
    </row>
    <row r="10" spans="1:11" x14ac:dyDescent="0.25">
      <c r="A10" s="8" t="s">
        <v>85</v>
      </c>
      <c r="B10" s="8" t="s">
        <v>86</v>
      </c>
      <c r="C10" s="8" t="s">
        <v>87</v>
      </c>
      <c r="D10" s="8" t="s">
        <v>28</v>
      </c>
      <c r="E10" s="8" t="s">
        <v>88</v>
      </c>
      <c r="F10" s="8" t="s">
        <v>89</v>
      </c>
      <c r="G10" s="8" t="s">
        <v>90</v>
      </c>
      <c r="H10" s="8" t="s">
        <v>91</v>
      </c>
      <c r="I10" s="8" t="s">
        <v>22</v>
      </c>
      <c r="J10" s="8" t="s">
        <v>92</v>
      </c>
      <c r="K10" s="8" t="s">
        <v>93</v>
      </c>
    </row>
    <row r="11" spans="1:11" x14ac:dyDescent="0.25">
      <c r="A11" s="8" t="s">
        <v>94</v>
      </c>
      <c r="B11" s="8" t="s">
        <v>95</v>
      </c>
      <c r="C11" s="8" t="s">
        <v>27</v>
      </c>
      <c r="D11" s="8" t="s">
        <v>96</v>
      </c>
      <c r="E11" s="8" t="s">
        <v>97</v>
      </c>
      <c r="F11" s="8" t="s">
        <v>89</v>
      </c>
      <c r="G11" s="8" t="s">
        <v>90</v>
      </c>
      <c r="H11" s="8" t="s">
        <v>98</v>
      </c>
      <c r="I11" s="8" t="s">
        <v>22</v>
      </c>
      <c r="J11" s="8" t="s">
        <v>99</v>
      </c>
      <c r="K11" s="8" t="s">
        <v>100</v>
      </c>
    </row>
    <row r="12" spans="1:11" x14ac:dyDescent="0.25">
      <c r="A12" s="8" t="s">
        <v>101</v>
      </c>
      <c r="B12" s="8" t="s">
        <v>102</v>
      </c>
      <c r="C12" s="8" t="s">
        <v>103</v>
      </c>
      <c r="D12" s="8" t="s">
        <v>17</v>
      </c>
      <c r="E12" s="8" t="s">
        <v>104</v>
      </c>
      <c r="F12" s="8" t="s">
        <v>45</v>
      </c>
      <c r="G12" s="8" t="s">
        <v>46</v>
      </c>
      <c r="H12" s="8" t="s">
        <v>105</v>
      </c>
      <c r="I12" s="8" t="s">
        <v>22</v>
      </c>
      <c r="J12" s="8" t="s">
        <v>106</v>
      </c>
      <c r="K12" s="8" t="s">
        <v>40</v>
      </c>
    </row>
    <row r="13" spans="1:11" x14ac:dyDescent="0.25">
      <c r="A13" s="8" t="s">
        <v>107</v>
      </c>
      <c r="B13" s="8" t="s">
        <v>108</v>
      </c>
      <c r="C13" s="8" t="s">
        <v>87</v>
      </c>
      <c r="D13" s="8" t="s">
        <v>109</v>
      </c>
      <c r="E13" s="8" t="s">
        <v>110</v>
      </c>
      <c r="F13" s="8" t="s">
        <v>71</v>
      </c>
      <c r="G13" s="8" t="s">
        <v>72</v>
      </c>
      <c r="H13" s="8" t="s">
        <v>111</v>
      </c>
      <c r="I13" s="8" t="s">
        <v>22</v>
      </c>
      <c r="J13" s="8" t="s">
        <v>112</v>
      </c>
      <c r="K13" s="8" t="s">
        <v>113</v>
      </c>
    </row>
    <row r="14" spans="1:11" x14ac:dyDescent="0.25">
      <c r="A14" s="8" t="s">
        <v>114</v>
      </c>
      <c r="B14" s="8" t="s">
        <v>115</v>
      </c>
      <c r="C14" s="8" t="s">
        <v>27</v>
      </c>
      <c r="D14" s="8" t="s">
        <v>69</v>
      </c>
      <c r="E14" s="8" t="s">
        <v>116</v>
      </c>
      <c r="F14" s="8" t="s">
        <v>71</v>
      </c>
      <c r="G14" s="8" t="s">
        <v>72</v>
      </c>
      <c r="H14" s="8" t="s">
        <v>117</v>
      </c>
      <c r="I14" s="8" t="s">
        <v>22</v>
      </c>
      <c r="J14" s="8" t="s">
        <v>118</v>
      </c>
      <c r="K14" s="8" t="s">
        <v>601</v>
      </c>
    </row>
    <row r="15" spans="1:11" x14ac:dyDescent="0.25">
      <c r="A15" s="8" t="s">
        <v>119</v>
      </c>
      <c r="B15" s="8" t="s">
        <v>120</v>
      </c>
      <c r="C15" s="8" t="s">
        <v>43</v>
      </c>
      <c r="D15" s="8" t="s">
        <v>28</v>
      </c>
      <c r="E15" s="8" t="s">
        <v>121</v>
      </c>
      <c r="F15" s="8" t="s">
        <v>19</v>
      </c>
      <c r="G15" s="8" t="s">
        <v>20</v>
      </c>
      <c r="H15" s="8" t="s">
        <v>122</v>
      </c>
      <c r="I15" s="8" t="s">
        <v>22</v>
      </c>
      <c r="J15" s="8" t="s">
        <v>123</v>
      </c>
      <c r="K15" s="8" t="s">
        <v>40</v>
      </c>
    </row>
    <row r="16" spans="1:11" x14ac:dyDescent="0.25">
      <c r="A16" s="8" t="s">
        <v>124</v>
      </c>
      <c r="B16" s="8" t="s">
        <v>125</v>
      </c>
      <c r="C16" s="8" t="s">
        <v>87</v>
      </c>
      <c r="D16" s="8" t="s">
        <v>126</v>
      </c>
      <c r="E16" s="8" t="s">
        <v>127</v>
      </c>
      <c r="F16" s="8" t="s">
        <v>19</v>
      </c>
      <c r="G16" s="8" t="s">
        <v>20</v>
      </c>
      <c r="H16" s="8" t="s">
        <v>128</v>
      </c>
      <c r="I16" s="8" t="s">
        <v>22</v>
      </c>
      <c r="J16" s="8" t="s">
        <v>129</v>
      </c>
      <c r="K16" s="8" t="s">
        <v>40</v>
      </c>
    </row>
    <row r="17" spans="1:11" x14ac:dyDescent="0.25">
      <c r="A17" s="8" t="s">
        <v>130</v>
      </c>
      <c r="B17" s="8" t="s">
        <v>131</v>
      </c>
      <c r="C17" s="8" t="s">
        <v>132</v>
      </c>
      <c r="D17" s="8" t="s">
        <v>17</v>
      </c>
      <c r="E17" s="8" t="s">
        <v>133</v>
      </c>
      <c r="F17" s="8" t="s">
        <v>134</v>
      </c>
      <c r="G17" s="8" t="s">
        <v>46</v>
      </c>
      <c r="H17" s="8" t="s">
        <v>135</v>
      </c>
      <c r="I17" s="8" t="s">
        <v>22</v>
      </c>
      <c r="J17" s="8" t="s">
        <v>136</v>
      </c>
      <c r="K17" s="8" t="s">
        <v>137</v>
      </c>
    </row>
    <row r="18" spans="1:11" x14ac:dyDescent="0.25">
      <c r="A18" s="8" t="s">
        <v>138</v>
      </c>
      <c r="B18" s="8" t="s">
        <v>139</v>
      </c>
      <c r="C18" s="8" t="s">
        <v>140</v>
      </c>
      <c r="D18" s="8" t="s">
        <v>53</v>
      </c>
      <c r="E18" s="8" t="s">
        <v>141</v>
      </c>
      <c r="F18" s="8" t="s">
        <v>142</v>
      </c>
      <c r="G18" s="8" t="s">
        <v>46</v>
      </c>
      <c r="H18" s="8" t="s">
        <v>143</v>
      </c>
      <c r="I18" s="8" t="s">
        <v>22</v>
      </c>
      <c r="J18" s="8" t="s">
        <v>144</v>
      </c>
      <c r="K18" s="8" t="s">
        <v>145</v>
      </c>
    </row>
    <row r="19" spans="1:11" x14ac:dyDescent="0.25">
      <c r="A19" s="8" t="s">
        <v>146</v>
      </c>
      <c r="B19" s="8" t="s">
        <v>147</v>
      </c>
      <c r="C19" s="8" t="s">
        <v>148</v>
      </c>
      <c r="D19" s="8" t="s">
        <v>28</v>
      </c>
      <c r="E19" s="8" t="s">
        <v>149</v>
      </c>
      <c r="F19" s="8" t="s">
        <v>150</v>
      </c>
      <c r="G19" s="8" t="s">
        <v>56</v>
      </c>
      <c r="H19" s="8" t="s">
        <v>151</v>
      </c>
      <c r="I19" s="8" t="s">
        <v>22</v>
      </c>
      <c r="J19" s="8" t="s">
        <v>152</v>
      </c>
      <c r="K19" s="8" t="s">
        <v>153</v>
      </c>
    </row>
    <row r="20" spans="1:11" x14ac:dyDescent="0.25">
      <c r="A20" s="8" t="s">
        <v>154</v>
      </c>
      <c r="B20" s="8" t="s">
        <v>155</v>
      </c>
      <c r="C20" s="8" t="s">
        <v>132</v>
      </c>
      <c r="D20" s="8" t="s">
        <v>109</v>
      </c>
      <c r="E20" s="8" t="s">
        <v>156</v>
      </c>
      <c r="F20" s="8" t="s">
        <v>19</v>
      </c>
      <c r="G20" s="8" t="s">
        <v>20</v>
      </c>
      <c r="H20" s="8" t="s">
        <v>157</v>
      </c>
      <c r="I20" s="8" t="s">
        <v>22</v>
      </c>
      <c r="J20" s="8" t="s">
        <v>158</v>
      </c>
      <c r="K20" s="8" t="s">
        <v>159</v>
      </c>
    </row>
    <row r="21" spans="1:11" x14ac:dyDescent="0.25">
      <c r="A21" s="8" t="s">
        <v>160</v>
      </c>
      <c r="B21" s="8" t="s">
        <v>161</v>
      </c>
      <c r="C21" s="8" t="s">
        <v>162</v>
      </c>
      <c r="D21" s="8" t="s">
        <v>163</v>
      </c>
      <c r="E21" s="8" t="s">
        <v>164</v>
      </c>
      <c r="F21" s="8" t="s">
        <v>45</v>
      </c>
      <c r="G21" s="8" t="s">
        <v>46</v>
      </c>
      <c r="H21" s="8" t="s">
        <v>165</v>
      </c>
      <c r="I21" s="8" t="s">
        <v>22</v>
      </c>
      <c r="J21" s="8" t="s">
        <v>166</v>
      </c>
      <c r="K21" s="8" t="s">
        <v>167</v>
      </c>
    </row>
    <row r="22" spans="1:11" x14ac:dyDescent="0.25">
      <c r="A22" s="8" t="s">
        <v>168</v>
      </c>
      <c r="B22" s="8" t="s">
        <v>169</v>
      </c>
      <c r="C22" s="8" t="s">
        <v>27</v>
      </c>
      <c r="D22" s="8" t="s">
        <v>170</v>
      </c>
      <c r="E22" s="8" t="s">
        <v>171</v>
      </c>
      <c r="F22" s="8" t="s">
        <v>45</v>
      </c>
      <c r="G22" s="8" t="s">
        <v>46</v>
      </c>
      <c r="H22" s="8" t="s">
        <v>172</v>
      </c>
      <c r="I22" s="8" t="s">
        <v>22</v>
      </c>
      <c r="J22" s="8" t="s">
        <v>173</v>
      </c>
      <c r="K22" s="8" t="s">
        <v>40</v>
      </c>
    </row>
    <row r="23" spans="1:11" x14ac:dyDescent="0.25">
      <c r="A23" s="8" t="s">
        <v>174</v>
      </c>
      <c r="B23" s="8" t="s">
        <v>175</v>
      </c>
      <c r="C23" s="8" t="s">
        <v>16</v>
      </c>
      <c r="D23" s="8" t="s">
        <v>96</v>
      </c>
      <c r="E23" s="8" t="s">
        <v>176</v>
      </c>
      <c r="F23" s="8" t="s">
        <v>19</v>
      </c>
      <c r="G23" s="8" t="s">
        <v>20</v>
      </c>
      <c r="H23" s="8" t="s">
        <v>177</v>
      </c>
      <c r="I23" s="8" t="s">
        <v>22</v>
      </c>
      <c r="J23" s="8" t="s">
        <v>178</v>
      </c>
      <c r="K23" s="8" t="s">
        <v>179</v>
      </c>
    </row>
    <row r="24" spans="1:11" x14ac:dyDescent="0.25">
      <c r="A24" s="8" t="s">
        <v>180</v>
      </c>
      <c r="B24" s="8" t="s">
        <v>181</v>
      </c>
      <c r="C24" s="8" t="s">
        <v>87</v>
      </c>
      <c r="D24" s="8" t="s">
        <v>182</v>
      </c>
      <c r="E24" s="8" t="s">
        <v>183</v>
      </c>
      <c r="F24" s="8" t="s">
        <v>37</v>
      </c>
      <c r="G24" s="8" t="s">
        <v>20</v>
      </c>
      <c r="H24" s="8" t="s">
        <v>184</v>
      </c>
      <c r="I24" s="8" t="s">
        <v>22</v>
      </c>
      <c r="J24" s="8" t="s">
        <v>185</v>
      </c>
      <c r="K24" s="8" t="s">
        <v>186</v>
      </c>
    </row>
    <row r="25" spans="1:11" x14ac:dyDescent="0.25">
      <c r="A25" s="8" t="s">
        <v>187</v>
      </c>
      <c r="B25" s="8" t="s">
        <v>188</v>
      </c>
      <c r="C25" s="8" t="s">
        <v>189</v>
      </c>
      <c r="D25" s="8" t="s">
        <v>28</v>
      </c>
      <c r="E25" s="8" t="s">
        <v>190</v>
      </c>
      <c r="F25" s="8" t="s">
        <v>55</v>
      </c>
      <c r="G25" s="8" t="s">
        <v>56</v>
      </c>
      <c r="H25" s="8" t="s">
        <v>191</v>
      </c>
      <c r="I25" s="8" t="s">
        <v>22</v>
      </c>
      <c r="J25" s="8" t="s">
        <v>192</v>
      </c>
      <c r="K25" s="8" t="s">
        <v>40</v>
      </c>
    </row>
    <row r="26" spans="1:11" x14ac:dyDescent="0.25">
      <c r="A26" s="8" t="s">
        <v>193</v>
      </c>
      <c r="B26" s="8" t="s">
        <v>194</v>
      </c>
      <c r="C26" s="8" t="s">
        <v>195</v>
      </c>
      <c r="D26" s="8" t="s">
        <v>69</v>
      </c>
      <c r="E26" s="8" t="s">
        <v>196</v>
      </c>
      <c r="F26" s="8" t="s">
        <v>197</v>
      </c>
      <c r="G26" s="8" t="s">
        <v>20</v>
      </c>
      <c r="H26" s="8" t="s">
        <v>198</v>
      </c>
      <c r="I26" s="8" t="s">
        <v>22</v>
      </c>
      <c r="J26" s="8" t="s">
        <v>199</v>
      </c>
      <c r="K26" s="8" t="s">
        <v>200</v>
      </c>
    </row>
    <row r="27" spans="1:11" x14ac:dyDescent="0.25">
      <c r="A27" s="8" t="s">
        <v>201</v>
      </c>
      <c r="B27" s="8" t="s">
        <v>202</v>
      </c>
      <c r="C27" s="8" t="s">
        <v>195</v>
      </c>
      <c r="D27" s="8" t="s">
        <v>69</v>
      </c>
      <c r="E27" s="8" t="s">
        <v>203</v>
      </c>
      <c r="F27" s="8" t="s">
        <v>55</v>
      </c>
      <c r="G27" s="8" t="s">
        <v>56</v>
      </c>
      <c r="H27" s="8" t="s">
        <v>204</v>
      </c>
      <c r="I27" s="8" t="s">
        <v>22</v>
      </c>
      <c r="J27" s="8" t="s">
        <v>205</v>
      </c>
      <c r="K27" s="8" t="s">
        <v>206</v>
      </c>
    </row>
    <row r="28" spans="1:11" x14ac:dyDescent="0.25">
      <c r="A28" s="8" t="s">
        <v>207</v>
      </c>
      <c r="B28" s="8" t="s">
        <v>208</v>
      </c>
      <c r="C28" s="8" t="s">
        <v>209</v>
      </c>
      <c r="D28" s="8" t="s">
        <v>17</v>
      </c>
      <c r="E28" s="8" t="s">
        <v>210</v>
      </c>
      <c r="F28" s="8" t="s">
        <v>150</v>
      </c>
      <c r="G28" s="8" t="s">
        <v>56</v>
      </c>
      <c r="H28" s="8" t="s">
        <v>211</v>
      </c>
      <c r="I28" s="8" t="s">
        <v>22</v>
      </c>
      <c r="J28" s="8" t="s">
        <v>212</v>
      </c>
      <c r="K28" s="8" t="s">
        <v>213</v>
      </c>
    </row>
    <row r="29" spans="1:11" x14ac:dyDescent="0.25">
      <c r="A29" s="8" t="s">
        <v>214</v>
      </c>
      <c r="B29" s="8" t="s">
        <v>215</v>
      </c>
      <c r="C29" s="8" t="s">
        <v>27</v>
      </c>
      <c r="D29" s="8" t="s">
        <v>163</v>
      </c>
      <c r="E29" s="8" t="s">
        <v>216</v>
      </c>
      <c r="F29" s="8" t="s">
        <v>55</v>
      </c>
      <c r="G29" s="8" t="s">
        <v>56</v>
      </c>
      <c r="H29" s="8" t="s">
        <v>217</v>
      </c>
      <c r="I29" s="8" t="s">
        <v>22</v>
      </c>
      <c r="J29" s="8" t="s">
        <v>218</v>
      </c>
      <c r="K29" s="8" t="s">
        <v>219</v>
      </c>
    </row>
    <row r="30" spans="1:11" x14ac:dyDescent="0.25">
      <c r="A30" s="8" t="s">
        <v>220</v>
      </c>
      <c r="B30" s="8" t="s">
        <v>221</v>
      </c>
      <c r="C30" s="8" t="s">
        <v>27</v>
      </c>
      <c r="D30" s="8" t="s">
        <v>69</v>
      </c>
      <c r="E30" s="8" t="s">
        <v>222</v>
      </c>
      <c r="F30" s="8" t="s">
        <v>45</v>
      </c>
      <c r="G30" s="8" t="s">
        <v>46</v>
      </c>
      <c r="H30" s="8" t="s">
        <v>223</v>
      </c>
      <c r="I30" s="8" t="s">
        <v>22</v>
      </c>
      <c r="J30" s="8" t="s">
        <v>224</v>
      </c>
      <c r="K30" s="8" t="s">
        <v>225</v>
      </c>
    </row>
    <row r="31" spans="1:11" x14ac:dyDescent="0.25">
      <c r="A31" s="8" t="s">
        <v>226</v>
      </c>
      <c r="B31" s="8" t="s">
        <v>227</v>
      </c>
      <c r="C31" s="8" t="s">
        <v>78</v>
      </c>
      <c r="D31" s="8" t="s">
        <v>163</v>
      </c>
      <c r="E31" s="8" t="s">
        <v>228</v>
      </c>
      <c r="F31" s="8" t="s">
        <v>229</v>
      </c>
      <c r="G31" s="8" t="s">
        <v>20</v>
      </c>
      <c r="H31" s="8" t="s">
        <v>230</v>
      </c>
      <c r="I31" s="8" t="s">
        <v>22</v>
      </c>
      <c r="J31" s="8" t="s">
        <v>231</v>
      </c>
      <c r="K31" s="8" t="s">
        <v>40</v>
      </c>
    </row>
    <row r="32" spans="1:11" x14ac:dyDescent="0.25">
      <c r="A32" s="8" t="s">
        <v>232</v>
      </c>
      <c r="B32" s="8" t="s">
        <v>233</v>
      </c>
      <c r="C32" s="8" t="s">
        <v>234</v>
      </c>
      <c r="D32" s="8" t="s">
        <v>126</v>
      </c>
      <c r="E32" s="8" t="s">
        <v>235</v>
      </c>
      <c r="F32" s="8" t="s">
        <v>236</v>
      </c>
      <c r="G32" s="8" t="s">
        <v>56</v>
      </c>
      <c r="H32" s="8" t="s">
        <v>237</v>
      </c>
      <c r="I32" s="8" t="s">
        <v>22</v>
      </c>
      <c r="J32" s="8" t="s">
        <v>238</v>
      </c>
      <c r="K32" s="8" t="s">
        <v>40</v>
      </c>
    </row>
    <row r="33" spans="1:11" x14ac:dyDescent="0.25">
      <c r="A33" s="8" t="s">
        <v>239</v>
      </c>
      <c r="B33" s="8" t="s">
        <v>240</v>
      </c>
      <c r="C33" s="8" t="s">
        <v>27</v>
      </c>
      <c r="D33" s="8" t="s">
        <v>69</v>
      </c>
      <c r="E33" s="8" t="s">
        <v>241</v>
      </c>
      <c r="F33" s="8" t="s">
        <v>242</v>
      </c>
      <c r="G33" s="8" t="s">
        <v>20</v>
      </c>
      <c r="H33" s="8" t="s">
        <v>243</v>
      </c>
      <c r="I33" s="8" t="s">
        <v>22</v>
      </c>
      <c r="J33" s="8" t="s">
        <v>244</v>
      </c>
      <c r="K33" s="8" t="s">
        <v>40</v>
      </c>
    </row>
    <row r="34" spans="1:11" x14ac:dyDescent="0.25">
      <c r="A34" s="8" t="s">
        <v>245</v>
      </c>
      <c r="B34" s="8" t="s">
        <v>246</v>
      </c>
      <c r="C34" s="8" t="s">
        <v>78</v>
      </c>
      <c r="D34" s="8" t="s">
        <v>28</v>
      </c>
      <c r="E34" s="8" t="s">
        <v>247</v>
      </c>
      <c r="F34" s="8" t="s">
        <v>19</v>
      </c>
      <c r="G34" s="8" t="s">
        <v>20</v>
      </c>
      <c r="H34" s="8" t="s">
        <v>248</v>
      </c>
      <c r="I34" s="8" t="s">
        <v>22</v>
      </c>
      <c r="J34" s="8" t="s">
        <v>249</v>
      </c>
      <c r="K34" s="8" t="s">
        <v>250</v>
      </c>
    </row>
    <row r="35" spans="1:11" x14ac:dyDescent="0.25">
      <c r="A35" s="8" t="s">
        <v>251</v>
      </c>
      <c r="B35" s="8" t="s">
        <v>252</v>
      </c>
      <c r="C35" s="8" t="s">
        <v>162</v>
      </c>
      <c r="D35" s="8" t="s">
        <v>96</v>
      </c>
      <c r="E35" s="8" t="s">
        <v>253</v>
      </c>
      <c r="F35" s="8" t="s">
        <v>254</v>
      </c>
      <c r="G35" s="8" t="s">
        <v>56</v>
      </c>
      <c r="H35" s="8" t="s">
        <v>255</v>
      </c>
      <c r="I35" s="8" t="s">
        <v>22</v>
      </c>
      <c r="J35" s="8" t="s">
        <v>256</v>
      </c>
      <c r="K35" s="8" t="s">
        <v>257</v>
      </c>
    </row>
    <row r="36" spans="1:11" x14ac:dyDescent="0.25">
      <c r="A36" s="8" t="s">
        <v>258</v>
      </c>
      <c r="B36" s="8" t="s">
        <v>259</v>
      </c>
      <c r="C36" s="8" t="s">
        <v>27</v>
      </c>
      <c r="D36" s="8" t="s">
        <v>17</v>
      </c>
      <c r="E36" s="8" t="s">
        <v>260</v>
      </c>
      <c r="F36" s="8" t="s">
        <v>45</v>
      </c>
      <c r="G36" s="8" t="s">
        <v>46</v>
      </c>
      <c r="H36" s="8" t="s">
        <v>261</v>
      </c>
      <c r="I36" s="8" t="s">
        <v>22</v>
      </c>
      <c r="J36" s="8" t="s">
        <v>262</v>
      </c>
      <c r="K36" s="8" t="s">
        <v>263</v>
      </c>
    </row>
    <row r="37" spans="1:11" x14ac:dyDescent="0.25">
      <c r="A37" s="8" t="s">
        <v>264</v>
      </c>
      <c r="B37" s="8" t="s">
        <v>265</v>
      </c>
      <c r="C37" s="8" t="s">
        <v>189</v>
      </c>
      <c r="D37" s="8" t="s">
        <v>17</v>
      </c>
      <c r="E37" s="8" t="s">
        <v>266</v>
      </c>
      <c r="F37" s="8" t="s">
        <v>71</v>
      </c>
      <c r="G37" s="8" t="s">
        <v>72</v>
      </c>
      <c r="H37" s="8" t="s">
        <v>267</v>
      </c>
      <c r="I37" s="8" t="s">
        <v>22</v>
      </c>
      <c r="J37" s="8" t="s">
        <v>268</v>
      </c>
      <c r="K37" s="8" t="s">
        <v>269</v>
      </c>
    </row>
    <row r="38" spans="1:11" x14ac:dyDescent="0.25">
      <c r="A38" s="8" t="s">
        <v>270</v>
      </c>
      <c r="B38" s="8" t="s">
        <v>271</v>
      </c>
      <c r="C38" s="8" t="s">
        <v>189</v>
      </c>
      <c r="D38" s="8" t="s">
        <v>126</v>
      </c>
      <c r="E38" s="8" t="s">
        <v>272</v>
      </c>
      <c r="F38" s="8" t="s">
        <v>19</v>
      </c>
      <c r="G38" s="8" t="s">
        <v>20</v>
      </c>
      <c r="H38" s="8" t="s">
        <v>273</v>
      </c>
      <c r="I38" s="8" t="s">
        <v>22</v>
      </c>
      <c r="J38" s="8" t="s">
        <v>274</v>
      </c>
      <c r="K38" s="8" t="s">
        <v>275</v>
      </c>
    </row>
    <row r="39" spans="1:11" x14ac:dyDescent="0.25">
      <c r="A39" s="8" t="s">
        <v>276</v>
      </c>
      <c r="B39" s="8" t="s">
        <v>277</v>
      </c>
      <c r="C39" s="8" t="s">
        <v>278</v>
      </c>
      <c r="D39" s="8" t="s">
        <v>69</v>
      </c>
      <c r="E39" s="8" t="s">
        <v>279</v>
      </c>
      <c r="F39" s="8" t="s">
        <v>80</v>
      </c>
      <c r="G39" s="8" t="s">
        <v>81</v>
      </c>
      <c r="H39" s="8" t="s">
        <v>280</v>
      </c>
      <c r="I39" s="8" t="s">
        <v>22</v>
      </c>
      <c r="J39" s="8" t="s">
        <v>281</v>
      </c>
      <c r="K39" s="8" t="s">
        <v>40</v>
      </c>
    </row>
    <row r="40" spans="1:11" x14ac:dyDescent="0.25">
      <c r="A40" s="8" t="s">
        <v>282</v>
      </c>
      <c r="B40" s="8" t="s">
        <v>283</v>
      </c>
      <c r="C40" s="8" t="s">
        <v>103</v>
      </c>
      <c r="D40" s="8" t="s">
        <v>126</v>
      </c>
      <c r="E40" s="8" t="s">
        <v>284</v>
      </c>
      <c r="F40" s="8" t="s">
        <v>89</v>
      </c>
      <c r="G40" s="8" t="s">
        <v>90</v>
      </c>
      <c r="H40" s="8" t="s">
        <v>285</v>
      </c>
      <c r="I40" s="8" t="s">
        <v>22</v>
      </c>
      <c r="J40" s="8" t="s">
        <v>286</v>
      </c>
      <c r="K40" s="8" t="s">
        <v>40</v>
      </c>
    </row>
    <row r="41" spans="1:11" x14ac:dyDescent="0.25">
      <c r="A41" s="8" t="s">
        <v>287</v>
      </c>
      <c r="B41" s="8" t="s">
        <v>288</v>
      </c>
      <c r="C41" s="8" t="s">
        <v>162</v>
      </c>
      <c r="D41" s="8" t="s">
        <v>17</v>
      </c>
      <c r="E41" s="8" t="s">
        <v>289</v>
      </c>
      <c r="F41" s="8" t="s">
        <v>89</v>
      </c>
      <c r="G41" s="8" t="s">
        <v>90</v>
      </c>
      <c r="H41" s="8" t="s">
        <v>290</v>
      </c>
      <c r="I41" s="8" t="s">
        <v>22</v>
      </c>
      <c r="J41" s="8" t="s">
        <v>291</v>
      </c>
      <c r="K41" s="8" t="s">
        <v>292</v>
      </c>
    </row>
    <row r="42" spans="1:11" x14ac:dyDescent="0.25">
      <c r="A42" s="8" t="s">
        <v>293</v>
      </c>
      <c r="B42" s="8" t="s">
        <v>294</v>
      </c>
      <c r="C42" s="8" t="s">
        <v>27</v>
      </c>
      <c r="D42" s="8" t="s">
        <v>163</v>
      </c>
      <c r="E42" s="8" t="s">
        <v>295</v>
      </c>
      <c r="F42" s="8" t="s">
        <v>19</v>
      </c>
      <c r="G42" s="8" t="s">
        <v>20</v>
      </c>
      <c r="H42" s="8" t="s">
        <v>296</v>
      </c>
      <c r="I42" s="8" t="s">
        <v>22</v>
      </c>
      <c r="J42" s="8" t="s">
        <v>297</v>
      </c>
      <c r="K42" s="8" t="s">
        <v>298</v>
      </c>
    </row>
    <row r="43" spans="1:11" x14ac:dyDescent="0.25">
      <c r="A43" s="8" t="s">
        <v>299</v>
      </c>
      <c r="B43" s="8" t="s">
        <v>300</v>
      </c>
      <c r="C43" s="8" t="s">
        <v>87</v>
      </c>
      <c r="D43" s="8" t="s">
        <v>170</v>
      </c>
      <c r="E43" s="8" t="s">
        <v>301</v>
      </c>
      <c r="F43" s="8" t="s">
        <v>19</v>
      </c>
      <c r="G43" s="8" t="s">
        <v>20</v>
      </c>
      <c r="H43" s="8" t="s">
        <v>302</v>
      </c>
      <c r="I43" s="8" t="s">
        <v>22</v>
      </c>
      <c r="J43" s="8" t="s">
        <v>303</v>
      </c>
      <c r="K43" s="8" t="s">
        <v>304</v>
      </c>
    </row>
    <row r="44" spans="1:11" x14ac:dyDescent="0.25">
      <c r="A44" s="8" t="s">
        <v>305</v>
      </c>
      <c r="B44" s="8" t="s">
        <v>306</v>
      </c>
      <c r="C44" s="8" t="s">
        <v>27</v>
      </c>
      <c r="D44" s="8" t="s">
        <v>69</v>
      </c>
      <c r="E44" s="8" t="s">
        <v>307</v>
      </c>
      <c r="F44" s="8" t="s">
        <v>45</v>
      </c>
      <c r="G44" s="8" t="s">
        <v>46</v>
      </c>
      <c r="H44" s="8" t="s">
        <v>308</v>
      </c>
      <c r="I44" s="8" t="s">
        <v>22</v>
      </c>
      <c r="J44" s="8" t="s">
        <v>309</v>
      </c>
      <c r="K44" s="8" t="s">
        <v>310</v>
      </c>
    </row>
    <row r="45" spans="1:11" x14ac:dyDescent="0.25">
      <c r="A45" s="8" t="s">
        <v>311</v>
      </c>
      <c r="B45" s="8" t="s">
        <v>312</v>
      </c>
      <c r="C45" s="8" t="s">
        <v>87</v>
      </c>
      <c r="D45" s="8" t="s">
        <v>17</v>
      </c>
      <c r="E45" s="8" t="s">
        <v>313</v>
      </c>
      <c r="F45" s="8" t="s">
        <v>55</v>
      </c>
      <c r="G45" s="8" t="s">
        <v>56</v>
      </c>
      <c r="H45" s="8" t="s">
        <v>314</v>
      </c>
      <c r="I45" s="8" t="s">
        <v>22</v>
      </c>
      <c r="J45" s="8" t="s">
        <v>315</v>
      </c>
      <c r="K45" s="8" t="s">
        <v>316</v>
      </c>
    </row>
    <row r="46" spans="1:11" x14ac:dyDescent="0.25">
      <c r="A46" s="8" t="s">
        <v>317</v>
      </c>
      <c r="B46" s="8" t="s">
        <v>318</v>
      </c>
      <c r="C46" s="8" t="s">
        <v>43</v>
      </c>
      <c r="D46" s="8" t="s">
        <v>28</v>
      </c>
      <c r="E46" s="8" t="s">
        <v>319</v>
      </c>
      <c r="F46" s="8" t="s">
        <v>134</v>
      </c>
      <c r="G46" s="8" t="s">
        <v>46</v>
      </c>
      <c r="H46" s="8" t="s">
        <v>320</v>
      </c>
      <c r="I46" s="8" t="s">
        <v>22</v>
      </c>
      <c r="J46" s="8" t="s">
        <v>321</v>
      </c>
      <c r="K46" s="8" t="s">
        <v>40</v>
      </c>
    </row>
    <row r="47" spans="1:11" x14ac:dyDescent="0.25">
      <c r="A47" s="8" t="s">
        <v>322</v>
      </c>
      <c r="B47" s="8" t="s">
        <v>323</v>
      </c>
      <c r="C47" s="8" t="s">
        <v>78</v>
      </c>
      <c r="D47" s="8" t="s">
        <v>96</v>
      </c>
      <c r="E47" s="8" t="s">
        <v>324</v>
      </c>
      <c r="F47" s="8" t="s">
        <v>19</v>
      </c>
      <c r="G47" s="8" t="s">
        <v>20</v>
      </c>
      <c r="H47" s="8" t="s">
        <v>325</v>
      </c>
      <c r="I47" s="8" t="s">
        <v>22</v>
      </c>
      <c r="J47" s="8" t="s">
        <v>326</v>
      </c>
      <c r="K47" s="8" t="s">
        <v>327</v>
      </c>
    </row>
    <row r="48" spans="1:11" x14ac:dyDescent="0.25">
      <c r="A48" s="8" t="s">
        <v>328</v>
      </c>
      <c r="B48" s="8" t="s">
        <v>329</v>
      </c>
      <c r="C48" s="8" t="s">
        <v>43</v>
      </c>
      <c r="D48" s="8" t="s">
        <v>28</v>
      </c>
      <c r="E48" s="8" t="s">
        <v>330</v>
      </c>
      <c r="F48" s="8" t="s">
        <v>142</v>
      </c>
      <c r="G48" s="8" t="s">
        <v>46</v>
      </c>
      <c r="H48" s="8" t="s">
        <v>331</v>
      </c>
      <c r="I48" s="8" t="s">
        <v>22</v>
      </c>
      <c r="J48" s="8" t="s">
        <v>332</v>
      </c>
      <c r="K48" s="8" t="s">
        <v>333</v>
      </c>
    </row>
    <row r="49" spans="1:11" x14ac:dyDescent="0.25">
      <c r="A49" s="8" t="s">
        <v>334</v>
      </c>
      <c r="B49" s="8" t="s">
        <v>335</v>
      </c>
      <c r="C49" s="8" t="s">
        <v>336</v>
      </c>
      <c r="D49" s="8" t="s">
        <v>163</v>
      </c>
      <c r="E49" s="8" t="s">
        <v>337</v>
      </c>
      <c r="F49" s="8" t="s">
        <v>19</v>
      </c>
      <c r="G49" s="8" t="s">
        <v>20</v>
      </c>
      <c r="H49" s="8" t="s">
        <v>338</v>
      </c>
      <c r="I49" s="8" t="s">
        <v>22</v>
      </c>
      <c r="J49" s="8" t="s">
        <v>339</v>
      </c>
      <c r="K49" s="8" t="s">
        <v>340</v>
      </c>
    </row>
    <row r="50" spans="1:11" x14ac:dyDescent="0.25">
      <c r="A50" s="8" t="s">
        <v>341</v>
      </c>
      <c r="B50" s="8" t="s">
        <v>342</v>
      </c>
      <c r="C50" s="8" t="s">
        <v>87</v>
      </c>
      <c r="D50" s="8" t="s">
        <v>69</v>
      </c>
      <c r="E50" s="8" t="s">
        <v>343</v>
      </c>
      <c r="F50" s="8" t="s">
        <v>45</v>
      </c>
      <c r="G50" s="8" t="s">
        <v>46</v>
      </c>
      <c r="H50" s="8" t="s">
        <v>344</v>
      </c>
      <c r="I50" s="8" t="s">
        <v>22</v>
      </c>
      <c r="J50" s="8" t="s">
        <v>345</v>
      </c>
      <c r="K50" s="8" t="s">
        <v>346</v>
      </c>
    </row>
    <row r="51" spans="1:11" x14ac:dyDescent="0.25">
      <c r="A51" s="8" t="s">
        <v>347</v>
      </c>
      <c r="B51" s="8" t="s">
        <v>348</v>
      </c>
      <c r="C51" s="8" t="s">
        <v>349</v>
      </c>
      <c r="D51" s="8" t="s">
        <v>109</v>
      </c>
      <c r="E51" s="8" t="s">
        <v>350</v>
      </c>
      <c r="F51" s="8" t="s">
        <v>351</v>
      </c>
      <c r="G51" s="8" t="s">
        <v>56</v>
      </c>
      <c r="H51" s="8" t="s">
        <v>352</v>
      </c>
      <c r="I51" s="8" t="s">
        <v>22</v>
      </c>
      <c r="J51" s="8" t="s">
        <v>353</v>
      </c>
      <c r="K51" s="8" t="s">
        <v>354</v>
      </c>
    </row>
    <row r="52" spans="1:11" x14ac:dyDescent="0.25">
      <c r="A52" s="8" t="s">
        <v>355</v>
      </c>
      <c r="B52" s="8" t="s">
        <v>356</v>
      </c>
      <c r="C52" s="8" t="s">
        <v>357</v>
      </c>
      <c r="D52" s="8" t="s">
        <v>170</v>
      </c>
      <c r="E52" s="8" t="s">
        <v>358</v>
      </c>
      <c r="F52" s="8" t="s">
        <v>71</v>
      </c>
      <c r="G52" s="8" t="s">
        <v>72</v>
      </c>
      <c r="H52" s="8" t="s">
        <v>359</v>
      </c>
      <c r="I52" s="8" t="s">
        <v>22</v>
      </c>
      <c r="J52" s="8" t="s">
        <v>360</v>
      </c>
      <c r="K52" s="8" t="s">
        <v>361</v>
      </c>
    </row>
    <row r="53" spans="1:11" x14ac:dyDescent="0.25">
      <c r="A53" s="8" t="s">
        <v>362</v>
      </c>
      <c r="B53" s="8" t="s">
        <v>363</v>
      </c>
      <c r="C53" s="8" t="s">
        <v>364</v>
      </c>
      <c r="D53" s="8" t="s">
        <v>170</v>
      </c>
      <c r="E53" s="8" t="s">
        <v>365</v>
      </c>
      <c r="F53" s="8" t="s">
        <v>19</v>
      </c>
      <c r="G53" s="8" t="s">
        <v>20</v>
      </c>
      <c r="H53" s="8" t="s">
        <v>366</v>
      </c>
      <c r="I53" s="8" t="s">
        <v>22</v>
      </c>
      <c r="J53" s="8" t="s">
        <v>367</v>
      </c>
      <c r="K53" s="8" t="s">
        <v>40</v>
      </c>
    </row>
    <row r="54" spans="1:11" x14ac:dyDescent="0.25">
      <c r="A54" s="8" t="s">
        <v>368</v>
      </c>
      <c r="B54" s="8" t="s">
        <v>369</v>
      </c>
      <c r="C54" s="8" t="s">
        <v>27</v>
      </c>
      <c r="D54" s="8" t="s">
        <v>126</v>
      </c>
      <c r="E54" s="8" t="s">
        <v>370</v>
      </c>
      <c r="F54" s="8" t="s">
        <v>37</v>
      </c>
      <c r="G54" s="8" t="s">
        <v>20</v>
      </c>
      <c r="H54" s="8" t="s">
        <v>371</v>
      </c>
      <c r="I54" s="8" t="s">
        <v>22</v>
      </c>
      <c r="J54" s="8" t="s">
        <v>372</v>
      </c>
      <c r="K54" s="8" t="s">
        <v>373</v>
      </c>
    </row>
    <row r="55" spans="1:11" x14ac:dyDescent="0.25">
      <c r="A55" s="8" t="s">
        <v>374</v>
      </c>
      <c r="B55" s="8" t="s">
        <v>375</v>
      </c>
      <c r="C55" s="8" t="s">
        <v>78</v>
      </c>
      <c r="D55" s="8" t="s">
        <v>109</v>
      </c>
      <c r="E55" s="8" t="s">
        <v>376</v>
      </c>
      <c r="F55" s="8" t="s">
        <v>197</v>
      </c>
      <c r="G55" s="8" t="s">
        <v>20</v>
      </c>
      <c r="H55" s="8" t="s">
        <v>377</v>
      </c>
      <c r="I55" s="8" t="s">
        <v>22</v>
      </c>
      <c r="J55" s="8" t="s">
        <v>378</v>
      </c>
      <c r="K55" s="8" t="s">
        <v>379</v>
      </c>
    </row>
    <row r="56" spans="1:11" x14ac:dyDescent="0.25">
      <c r="A56" s="8" t="s">
        <v>380</v>
      </c>
      <c r="B56" s="8" t="s">
        <v>381</v>
      </c>
      <c r="C56" s="8" t="s">
        <v>189</v>
      </c>
      <c r="D56" s="8" t="s">
        <v>17</v>
      </c>
      <c r="E56" s="8" t="s">
        <v>382</v>
      </c>
      <c r="F56" s="8" t="s">
        <v>55</v>
      </c>
      <c r="G56" s="8" t="s">
        <v>56</v>
      </c>
      <c r="H56" s="8" t="s">
        <v>383</v>
      </c>
      <c r="I56" s="8" t="s">
        <v>22</v>
      </c>
      <c r="J56" s="8" t="s">
        <v>384</v>
      </c>
      <c r="K56" s="8" t="s">
        <v>385</v>
      </c>
    </row>
    <row r="57" spans="1:11" x14ac:dyDescent="0.25">
      <c r="A57" s="8" t="s">
        <v>386</v>
      </c>
      <c r="B57" s="8" t="s">
        <v>387</v>
      </c>
      <c r="C57" s="8" t="s">
        <v>87</v>
      </c>
      <c r="D57" s="8" t="s">
        <v>28</v>
      </c>
      <c r="E57" s="8" t="s">
        <v>388</v>
      </c>
      <c r="F57" s="8" t="s">
        <v>45</v>
      </c>
      <c r="G57" s="8" t="s">
        <v>46</v>
      </c>
      <c r="H57" s="8" t="s">
        <v>389</v>
      </c>
      <c r="I57" s="8" t="s">
        <v>22</v>
      </c>
      <c r="J57" s="8" t="s">
        <v>390</v>
      </c>
      <c r="K57" s="8" t="s">
        <v>391</v>
      </c>
    </row>
    <row r="58" spans="1:11" x14ac:dyDescent="0.25">
      <c r="A58" s="8" t="s">
        <v>392</v>
      </c>
      <c r="B58" s="8" t="s">
        <v>393</v>
      </c>
      <c r="C58" s="8" t="s">
        <v>234</v>
      </c>
      <c r="D58" s="8" t="s">
        <v>28</v>
      </c>
      <c r="E58" s="8" t="s">
        <v>394</v>
      </c>
      <c r="F58" s="8" t="s">
        <v>37</v>
      </c>
      <c r="G58" s="8" t="s">
        <v>20</v>
      </c>
      <c r="H58" s="8" t="s">
        <v>395</v>
      </c>
      <c r="I58" s="8" t="s">
        <v>22</v>
      </c>
      <c r="J58" s="8" t="s">
        <v>396</v>
      </c>
      <c r="K58" s="8" t="s">
        <v>397</v>
      </c>
    </row>
    <row r="59" spans="1:11" x14ac:dyDescent="0.25">
      <c r="A59" s="8" t="s">
        <v>398</v>
      </c>
      <c r="B59" s="8" t="s">
        <v>399</v>
      </c>
      <c r="C59" s="8" t="s">
        <v>209</v>
      </c>
      <c r="D59" s="8" t="s">
        <v>17</v>
      </c>
      <c r="E59" s="8" t="s">
        <v>400</v>
      </c>
      <c r="F59" s="8" t="s">
        <v>19</v>
      </c>
      <c r="G59" s="8" t="s">
        <v>20</v>
      </c>
      <c r="H59" s="8" t="s">
        <v>401</v>
      </c>
      <c r="I59" s="8" t="s">
        <v>22</v>
      </c>
      <c r="J59" s="8" t="s">
        <v>402</v>
      </c>
      <c r="K59" s="8" t="s">
        <v>403</v>
      </c>
    </row>
    <row r="60" spans="1:11" x14ac:dyDescent="0.25">
      <c r="A60" s="8" t="s">
        <v>404</v>
      </c>
      <c r="B60" s="8" t="s">
        <v>405</v>
      </c>
      <c r="C60" s="8" t="s">
        <v>43</v>
      </c>
      <c r="D60" s="8" t="s">
        <v>163</v>
      </c>
      <c r="E60" s="8" t="s">
        <v>406</v>
      </c>
      <c r="F60" s="8" t="s">
        <v>150</v>
      </c>
      <c r="G60" s="8" t="s">
        <v>56</v>
      </c>
      <c r="H60" s="8" t="s">
        <v>407</v>
      </c>
      <c r="I60" s="8" t="s">
        <v>22</v>
      </c>
      <c r="J60" s="8" t="s">
        <v>408</v>
      </c>
      <c r="K60" s="8" t="s">
        <v>409</v>
      </c>
    </row>
    <row r="61" spans="1:11" x14ac:dyDescent="0.25">
      <c r="A61" s="8" t="s">
        <v>410</v>
      </c>
      <c r="B61" s="8" t="s">
        <v>411</v>
      </c>
      <c r="C61" s="8" t="s">
        <v>412</v>
      </c>
      <c r="D61" s="8" t="s">
        <v>17</v>
      </c>
      <c r="E61" s="8" t="s">
        <v>413</v>
      </c>
      <c r="F61" s="8" t="s">
        <v>229</v>
      </c>
      <c r="G61" s="8" t="s">
        <v>20</v>
      </c>
      <c r="H61" s="8" t="s">
        <v>414</v>
      </c>
      <c r="I61" s="8" t="s">
        <v>22</v>
      </c>
      <c r="J61" s="8" t="s">
        <v>415</v>
      </c>
      <c r="K61" s="8" t="s">
        <v>40</v>
      </c>
    </row>
    <row r="62" spans="1:11" x14ac:dyDescent="0.25">
      <c r="A62" s="8" t="s">
        <v>416</v>
      </c>
      <c r="B62" s="8" t="s">
        <v>417</v>
      </c>
      <c r="C62" s="8" t="s">
        <v>27</v>
      </c>
      <c r="D62" s="8" t="s">
        <v>96</v>
      </c>
      <c r="E62" s="8" t="s">
        <v>418</v>
      </c>
      <c r="F62" s="8" t="s">
        <v>242</v>
      </c>
      <c r="G62" s="8" t="s">
        <v>20</v>
      </c>
      <c r="H62" s="8" t="s">
        <v>419</v>
      </c>
      <c r="I62" s="8" t="s">
        <v>22</v>
      </c>
      <c r="J62" s="8" t="s">
        <v>420</v>
      </c>
      <c r="K62" s="8" t="s">
        <v>421</v>
      </c>
    </row>
    <row r="63" spans="1:11" x14ac:dyDescent="0.25">
      <c r="A63" s="8" t="s">
        <v>422</v>
      </c>
      <c r="B63" s="8" t="s">
        <v>423</v>
      </c>
      <c r="C63" s="8" t="s">
        <v>424</v>
      </c>
      <c r="D63" s="8" t="s">
        <v>170</v>
      </c>
      <c r="E63" s="8" t="s">
        <v>425</v>
      </c>
      <c r="F63" s="8" t="s">
        <v>242</v>
      </c>
      <c r="G63" s="8" t="s">
        <v>20</v>
      </c>
      <c r="H63" s="8" t="s">
        <v>426</v>
      </c>
      <c r="I63" s="8" t="s">
        <v>22</v>
      </c>
      <c r="J63" s="8" t="s">
        <v>427</v>
      </c>
      <c r="K63" s="8" t="s">
        <v>40</v>
      </c>
    </row>
    <row r="64" spans="1:11" x14ac:dyDescent="0.25">
      <c r="A64" s="8" t="s">
        <v>428</v>
      </c>
      <c r="B64" s="8" t="s">
        <v>429</v>
      </c>
      <c r="C64" s="8" t="s">
        <v>430</v>
      </c>
      <c r="D64" s="8" t="s">
        <v>96</v>
      </c>
      <c r="E64" s="8" t="s">
        <v>431</v>
      </c>
      <c r="F64" s="8" t="s">
        <v>19</v>
      </c>
      <c r="G64" s="8" t="s">
        <v>20</v>
      </c>
      <c r="H64" s="8" t="s">
        <v>432</v>
      </c>
      <c r="I64" s="8" t="s">
        <v>22</v>
      </c>
      <c r="J64" s="8" t="s">
        <v>433</v>
      </c>
      <c r="K64" s="8" t="s">
        <v>40</v>
      </c>
    </row>
    <row r="65" spans="1:11" x14ac:dyDescent="0.25">
      <c r="A65" s="8" t="s">
        <v>434</v>
      </c>
      <c r="B65" s="8" t="s">
        <v>435</v>
      </c>
      <c r="C65" s="8" t="s">
        <v>436</v>
      </c>
      <c r="D65" s="8" t="s">
        <v>17</v>
      </c>
      <c r="E65" s="8" t="s">
        <v>437</v>
      </c>
      <c r="F65" s="8" t="s">
        <v>45</v>
      </c>
      <c r="G65" s="8" t="s">
        <v>46</v>
      </c>
      <c r="H65" s="8" t="s">
        <v>438</v>
      </c>
      <c r="I65" s="8" t="s">
        <v>22</v>
      </c>
      <c r="J65" s="8" t="s">
        <v>439</v>
      </c>
      <c r="K65" s="8" t="s">
        <v>440</v>
      </c>
    </row>
    <row r="66" spans="1:11" x14ac:dyDescent="0.25">
      <c r="A66" s="8" t="s">
        <v>441</v>
      </c>
      <c r="B66" s="8" t="s">
        <v>442</v>
      </c>
      <c r="C66" s="8" t="s">
        <v>195</v>
      </c>
      <c r="D66" s="8" t="s">
        <v>443</v>
      </c>
      <c r="E66" s="8" t="s">
        <v>444</v>
      </c>
      <c r="F66" s="8" t="s">
        <v>445</v>
      </c>
      <c r="G66" s="8" t="s">
        <v>56</v>
      </c>
      <c r="H66" s="8" t="s">
        <v>446</v>
      </c>
      <c r="I66" s="8" t="s">
        <v>22</v>
      </c>
      <c r="J66" s="8" t="s">
        <v>447</v>
      </c>
      <c r="K66" s="8" t="s">
        <v>448</v>
      </c>
    </row>
    <row r="67" spans="1:11" x14ac:dyDescent="0.25">
      <c r="A67" s="8" t="s">
        <v>449</v>
      </c>
      <c r="B67" s="8" t="s">
        <v>450</v>
      </c>
      <c r="C67" s="8" t="s">
        <v>78</v>
      </c>
      <c r="D67" s="8" t="s">
        <v>126</v>
      </c>
      <c r="E67" s="8" t="s">
        <v>451</v>
      </c>
      <c r="F67" s="8" t="s">
        <v>19</v>
      </c>
      <c r="G67" s="8" t="s">
        <v>20</v>
      </c>
      <c r="H67" s="8" t="s">
        <v>452</v>
      </c>
      <c r="I67" s="8" t="s">
        <v>22</v>
      </c>
      <c r="J67" s="8" t="s">
        <v>453</v>
      </c>
      <c r="K67" s="8" t="s">
        <v>454</v>
      </c>
    </row>
    <row r="68" spans="1:11" x14ac:dyDescent="0.25">
      <c r="A68" s="8" t="s">
        <v>455</v>
      </c>
      <c r="B68" s="8" t="s">
        <v>456</v>
      </c>
      <c r="C68" s="8" t="s">
        <v>68</v>
      </c>
      <c r="D68" s="8" t="s">
        <v>182</v>
      </c>
      <c r="E68" s="8" t="s">
        <v>457</v>
      </c>
      <c r="F68" s="8" t="s">
        <v>19</v>
      </c>
      <c r="G68" s="8" t="s">
        <v>20</v>
      </c>
      <c r="H68" s="8" t="s">
        <v>458</v>
      </c>
      <c r="I68" s="8" t="s">
        <v>22</v>
      </c>
      <c r="J68" s="8" t="s">
        <v>459</v>
      </c>
      <c r="K68" s="8" t="s">
        <v>40</v>
      </c>
    </row>
    <row r="69" spans="1:11" x14ac:dyDescent="0.25">
      <c r="A69" s="8" t="s">
        <v>460</v>
      </c>
      <c r="B69" s="8" t="s">
        <v>461</v>
      </c>
      <c r="C69" s="8" t="s">
        <v>195</v>
      </c>
      <c r="D69" s="8" t="s">
        <v>163</v>
      </c>
      <c r="E69" s="8" t="s">
        <v>462</v>
      </c>
      <c r="F69" s="8" t="s">
        <v>55</v>
      </c>
      <c r="G69" s="8" t="s">
        <v>56</v>
      </c>
      <c r="H69" s="8" t="s">
        <v>463</v>
      </c>
      <c r="I69" s="8" t="s">
        <v>22</v>
      </c>
      <c r="J69" s="8" t="s">
        <v>464</v>
      </c>
      <c r="K69" s="8" t="s">
        <v>40</v>
      </c>
    </row>
    <row r="70" spans="1:11" x14ac:dyDescent="0.25">
      <c r="A70" s="8" t="s">
        <v>465</v>
      </c>
      <c r="B70" s="8" t="s">
        <v>466</v>
      </c>
      <c r="C70" s="8" t="s">
        <v>27</v>
      </c>
      <c r="D70" s="8" t="s">
        <v>96</v>
      </c>
      <c r="E70" s="8" t="s">
        <v>467</v>
      </c>
      <c r="F70" s="8" t="s">
        <v>19</v>
      </c>
      <c r="G70" s="8" t="s">
        <v>20</v>
      </c>
      <c r="H70" s="8" t="s">
        <v>468</v>
      </c>
      <c r="I70" s="8" t="s">
        <v>22</v>
      </c>
      <c r="J70" s="8" t="s">
        <v>469</v>
      </c>
      <c r="K70" s="8" t="s">
        <v>470</v>
      </c>
    </row>
    <row r="71" spans="1:11" x14ac:dyDescent="0.25">
      <c r="A71" s="8" t="s">
        <v>471</v>
      </c>
      <c r="B71" s="8" t="s">
        <v>472</v>
      </c>
      <c r="C71" s="8" t="s">
        <v>27</v>
      </c>
      <c r="D71" s="8" t="s">
        <v>28</v>
      </c>
      <c r="E71" s="8" t="s">
        <v>473</v>
      </c>
      <c r="F71" s="8" t="s">
        <v>89</v>
      </c>
      <c r="G71" s="8" t="s">
        <v>90</v>
      </c>
      <c r="H71" s="8" t="s">
        <v>474</v>
      </c>
      <c r="I71" s="8" t="s">
        <v>22</v>
      </c>
      <c r="J71" s="8" t="s">
        <v>475</v>
      </c>
      <c r="K71" s="8" t="s">
        <v>476</v>
      </c>
    </row>
    <row r="72" spans="1:11" x14ac:dyDescent="0.25">
      <c r="A72" s="8" t="s">
        <v>477</v>
      </c>
      <c r="B72" s="8" t="s">
        <v>478</v>
      </c>
      <c r="C72" s="8" t="s">
        <v>479</v>
      </c>
      <c r="D72" s="8" t="s">
        <v>17</v>
      </c>
      <c r="E72" s="8" t="s">
        <v>480</v>
      </c>
      <c r="F72" s="8" t="s">
        <v>89</v>
      </c>
      <c r="G72" s="8" t="s">
        <v>90</v>
      </c>
      <c r="H72" s="8" t="s">
        <v>481</v>
      </c>
      <c r="I72" s="8" t="s">
        <v>22</v>
      </c>
      <c r="J72" s="8" t="s">
        <v>482</v>
      </c>
      <c r="K72" s="8" t="s">
        <v>40</v>
      </c>
    </row>
    <row r="73" spans="1:11" x14ac:dyDescent="0.25">
      <c r="A73" s="8" t="s">
        <v>483</v>
      </c>
      <c r="B73" s="8" t="s">
        <v>484</v>
      </c>
      <c r="C73" s="8" t="s">
        <v>162</v>
      </c>
      <c r="D73" s="8" t="s">
        <v>163</v>
      </c>
      <c r="E73" s="8" t="s">
        <v>485</v>
      </c>
      <c r="F73" s="8" t="s">
        <v>19</v>
      </c>
      <c r="G73" s="8" t="s">
        <v>20</v>
      </c>
      <c r="H73" s="8" t="s">
        <v>486</v>
      </c>
      <c r="I73" s="8" t="s">
        <v>22</v>
      </c>
      <c r="J73" s="8" t="s">
        <v>487</v>
      </c>
      <c r="K73" s="8" t="s">
        <v>488</v>
      </c>
    </row>
    <row r="74" spans="1:11" x14ac:dyDescent="0.25">
      <c r="A74" s="8" t="s">
        <v>489</v>
      </c>
      <c r="B74" s="8" t="s">
        <v>490</v>
      </c>
      <c r="C74" s="8" t="s">
        <v>364</v>
      </c>
      <c r="D74" s="8" t="s">
        <v>28</v>
      </c>
      <c r="E74" s="8" t="s">
        <v>491</v>
      </c>
      <c r="F74" s="8" t="s">
        <v>19</v>
      </c>
      <c r="G74" s="8" t="s">
        <v>20</v>
      </c>
      <c r="H74" s="8" t="s">
        <v>492</v>
      </c>
      <c r="I74" s="8" t="s">
        <v>22</v>
      </c>
      <c r="J74" s="8" t="s">
        <v>493</v>
      </c>
      <c r="K74" s="8" t="s">
        <v>494</v>
      </c>
    </row>
    <row r="75" spans="1:11" x14ac:dyDescent="0.25">
      <c r="A75" s="8" t="s">
        <v>495</v>
      </c>
      <c r="B75" s="8" t="s">
        <v>496</v>
      </c>
      <c r="C75" s="8" t="s">
        <v>87</v>
      </c>
      <c r="D75" s="8" t="s">
        <v>69</v>
      </c>
      <c r="E75" s="8" t="s">
        <v>497</v>
      </c>
      <c r="F75" s="8" t="s">
        <v>134</v>
      </c>
      <c r="G75" s="8" t="s">
        <v>46</v>
      </c>
      <c r="H75" s="8" t="s">
        <v>498</v>
      </c>
      <c r="I75" s="8" t="s">
        <v>22</v>
      </c>
      <c r="J75" s="8" t="s">
        <v>499</v>
      </c>
      <c r="K75" s="8" t="s">
        <v>500</v>
      </c>
    </row>
    <row r="76" spans="1:11" x14ac:dyDescent="0.25">
      <c r="A76" s="8" t="s">
        <v>501</v>
      </c>
      <c r="B76" s="8" t="s">
        <v>502</v>
      </c>
      <c r="C76" s="8" t="s">
        <v>162</v>
      </c>
      <c r="D76" s="8" t="s">
        <v>163</v>
      </c>
      <c r="E76" s="8" t="s">
        <v>503</v>
      </c>
      <c r="F76" s="8" t="s">
        <v>45</v>
      </c>
      <c r="G76" s="8" t="s">
        <v>46</v>
      </c>
      <c r="H76" s="8" t="s">
        <v>504</v>
      </c>
      <c r="I76" s="8" t="s">
        <v>22</v>
      </c>
      <c r="J76" s="8" t="s">
        <v>505</v>
      </c>
      <c r="K76" s="8" t="s">
        <v>506</v>
      </c>
    </row>
    <row r="77" spans="1:11" x14ac:dyDescent="0.25">
      <c r="A77" s="8" t="s">
        <v>507</v>
      </c>
      <c r="B77" s="8" t="s">
        <v>508</v>
      </c>
      <c r="C77" s="8" t="s">
        <v>430</v>
      </c>
      <c r="D77" s="8" t="s">
        <v>96</v>
      </c>
      <c r="E77" s="8" t="s">
        <v>509</v>
      </c>
      <c r="F77" s="8" t="s">
        <v>19</v>
      </c>
      <c r="G77" s="8" t="s">
        <v>20</v>
      </c>
      <c r="H77" s="8" t="s">
        <v>510</v>
      </c>
      <c r="I77" s="8" t="s">
        <v>22</v>
      </c>
      <c r="J77" s="8" t="s">
        <v>511</v>
      </c>
      <c r="K77" s="8" t="s">
        <v>512</v>
      </c>
    </row>
    <row r="78" spans="1:11" x14ac:dyDescent="0.25">
      <c r="A78" s="8" t="s">
        <v>513</v>
      </c>
      <c r="B78" s="8" t="s">
        <v>514</v>
      </c>
      <c r="C78" s="8" t="s">
        <v>162</v>
      </c>
      <c r="D78" s="8" t="s">
        <v>69</v>
      </c>
      <c r="E78" s="8" t="s">
        <v>515</v>
      </c>
      <c r="F78" s="8" t="s">
        <v>142</v>
      </c>
      <c r="G78" s="8" t="s">
        <v>46</v>
      </c>
      <c r="H78" s="8" t="s">
        <v>516</v>
      </c>
      <c r="I78" s="8" t="s">
        <v>22</v>
      </c>
      <c r="J78" s="8" t="s">
        <v>517</v>
      </c>
      <c r="K78" s="8" t="s">
        <v>40</v>
      </c>
    </row>
    <row r="79" spans="1:11" x14ac:dyDescent="0.25">
      <c r="A79" s="8" t="s">
        <v>518</v>
      </c>
      <c r="B79" s="8" t="s">
        <v>519</v>
      </c>
      <c r="C79" s="8" t="s">
        <v>520</v>
      </c>
      <c r="D79" s="8" t="s">
        <v>170</v>
      </c>
      <c r="E79" s="8" t="s">
        <v>521</v>
      </c>
      <c r="F79" s="8" t="s">
        <v>522</v>
      </c>
      <c r="G79" s="8" t="s">
        <v>90</v>
      </c>
      <c r="H79" s="8" t="s">
        <v>523</v>
      </c>
      <c r="I79" s="8" t="s">
        <v>22</v>
      </c>
      <c r="J79" s="8" t="s">
        <v>524</v>
      </c>
      <c r="K79" s="8" t="s">
        <v>525</v>
      </c>
    </row>
    <row r="80" spans="1:11" x14ac:dyDescent="0.25">
      <c r="A80" s="8" t="s">
        <v>526</v>
      </c>
      <c r="B80" s="8" t="s">
        <v>527</v>
      </c>
      <c r="C80" s="8" t="s">
        <v>520</v>
      </c>
      <c r="D80" s="8" t="s">
        <v>69</v>
      </c>
      <c r="E80" s="8" t="s">
        <v>528</v>
      </c>
      <c r="F80" s="8" t="s">
        <v>351</v>
      </c>
      <c r="G80" s="8" t="s">
        <v>56</v>
      </c>
      <c r="H80" s="8" t="s">
        <v>529</v>
      </c>
      <c r="I80" s="8" t="s">
        <v>22</v>
      </c>
      <c r="J80" s="8" t="s">
        <v>530</v>
      </c>
      <c r="K80" s="8" t="s">
        <v>531</v>
      </c>
    </row>
    <row r="81" spans="1:11" x14ac:dyDescent="0.25">
      <c r="A81" s="8" t="s">
        <v>532</v>
      </c>
      <c r="B81" s="8" t="s">
        <v>533</v>
      </c>
      <c r="C81" s="8" t="s">
        <v>27</v>
      </c>
      <c r="D81" s="8" t="s">
        <v>28</v>
      </c>
      <c r="E81" s="8" t="s">
        <v>534</v>
      </c>
      <c r="F81" s="8" t="s">
        <v>19</v>
      </c>
      <c r="G81" s="8" t="s">
        <v>20</v>
      </c>
      <c r="H81" s="8" t="s">
        <v>535</v>
      </c>
      <c r="I81" s="8" t="s">
        <v>22</v>
      </c>
      <c r="J81" s="8" t="s">
        <v>536</v>
      </c>
      <c r="K81" s="8" t="s">
        <v>40</v>
      </c>
    </row>
    <row r="82" spans="1:11" x14ac:dyDescent="0.25">
      <c r="A82" s="8" t="s">
        <v>537</v>
      </c>
      <c r="B82" s="8" t="s">
        <v>538</v>
      </c>
      <c r="C82" s="8" t="s">
        <v>78</v>
      </c>
      <c r="D82" s="8" t="s">
        <v>17</v>
      </c>
      <c r="E82" s="8" t="s">
        <v>539</v>
      </c>
      <c r="F82" s="8" t="s">
        <v>37</v>
      </c>
      <c r="G82" s="8" t="s">
        <v>20</v>
      </c>
      <c r="H82" s="8" t="s">
        <v>540</v>
      </c>
      <c r="I82" s="8" t="s">
        <v>22</v>
      </c>
      <c r="J82" s="8" t="s">
        <v>541</v>
      </c>
      <c r="K82" s="8" t="s">
        <v>542</v>
      </c>
    </row>
    <row r="83" spans="1:11" x14ac:dyDescent="0.25">
      <c r="A83" s="8" t="s">
        <v>543</v>
      </c>
      <c r="B83" s="8" t="s">
        <v>544</v>
      </c>
      <c r="C83" s="8" t="s">
        <v>132</v>
      </c>
      <c r="D83" s="8" t="s">
        <v>126</v>
      </c>
      <c r="E83" s="8" t="s">
        <v>545</v>
      </c>
      <c r="F83" s="8" t="s">
        <v>45</v>
      </c>
      <c r="G83" s="8" t="s">
        <v>46</v>
      </c>
      <c r="H83" s="8" t="s">
        <v>546</v>
      </c>
      <c r="I83" s="8" t="s">
        <v>22</v>
      </c>
      <c r="J83" s="8" t="s">
        <v>547</v>
      </c>
      <c r="K83" s="8" t="s">
        <v>548</v>
      </c>
    </row>
    <row r="84" spans="1:11" x14ac:dyDescent="0.25">
      <c r="A84" s="8" t="s">
        <v>549</v>
      </c>
      <c r="B84" s="8" t="s">
        <v>550</v>
      </c>
      <c r="C84" s="8" t="s">
        <v>189</v>
      </c>
      <c r="D84" s="8" t="s">
        <v>163</v>
      </c>
      <c r="E84" s="8" t="s">
        <v>551</v>
      </c>
      <c r="F84" s="8" t="s">
        <v>45</v>
      </c>
      <c r="G84" s="8" t="s">
        <v>46</v>
      </c>
      <c r="H84" s="8" t="s">
        <v>552</v>
      </c>
      <c r="I84" s="8" t="s">
        <v>22</v>
      </c>
      <c r="J84" s="8" t="s">
        <v>553</v>
      </c>
      <c r="K84" s="8" t="s">
        <v>554</v>
      </c>
    </row>
    <row r="85" spans="1:11" x14ac:dyDescent="0.25">
      <c r="A85" s="8" t="s">
        <v>555</v>
      </c>
      <c r="B85" s="8" t="s">
        <v>556</v>
      </c>
      <c r="C85" s="8" t="s">
        <v>189</v>
      </c>
      <c r="D85" s="8" t="s">
        <v>109</v>
      </c>
      <c r="E85" s="8" t="s">
        <v>557</v>
      </c>
      <c r="F85" s="8" t="s">
        <v>197</v>
      </c>
      <c r="G85" s="8" t="s">
        <v>20</v>
      </c>
      <c r="H85" s="8" t="s">
        <v>558</v>
      </c>
      <c r="I85" s="8" t="s">
        <v>22</v>
      </c>
      <c r="J85" s="8" t="s">
        <v>559</v>
      </c>
      <c r="K85" s="8" t="s">
        <v>560</v>
      </c>
    </row>
    <row r="86" spans="1:11" x14ac:dyDescent="0.25">
      <c r="A86" s="8" t="s">
        <v>561</v>
      </c>
      <c r="B86" s="8" t="s">
        <v>562</v>
      </c>
      <c r="C86" s="8" t="s">
        <v>140</v>
      </c>
      <c r="D86" s="8" t="s">
        <v>96</v>
      </c>
      <c r="E86" s="8" t="s">
        <v>563</v>
      </c>
      <c r="F86" s="8" t="s">
        <v>19</v>
      </c>
      <c r="G86" s="8" t="s">
        <v>20</v>
      </c>
      <c r="H86" s="8" t="s">
        <v>564</v>
      </c>
      <c r="I86" s="8" t="s">
        <v>22</v>
      </c>
      <c r="J86" s="8" t="s">
        <v>565</v>
      </c>
      <c r="K86" s="8" t="s">
        <v>566</v>
      </c>
    </row>
    <row r="87" spans="1:11" x14ac:dyDescent="0.25">
      <c r="A87" s="8" t="s">
        <v>567</v>
      </c>
      <c r="B87" s="8" t="s">
        <v>568</v>
      </c>
      <c r="C87" s="8" t="s">
        <v>43</v>
      </c>
      <c r="D87" s="8" t="s">
        <v>17</v>
      </c>
      <c r="E87" s="8" t="s">
        <v>569</v>
      </c>
      <c r="F87" s="8" t="s">
        <v>19</v>
      </c>
      <c r="G87" s="8" t="s">
        <v>20</v>
      </c>
      <c r="H87" s="8" t="s">
        <v>570</v>
      </c>
      <c r="I87" s="8" t="s">
        <v>22</v>
      </c>
      <c r="J87" s="8" t="s">
        <v>571</v>
      </c>
      <c r="K87" s="8" t="s">
        <v>572</v>
      </c>
    </row>
    <row r="88" spans="1:11" x14ac:dyDescent="0.25">
      <c r="A88" s="8" t="s">
        <v>573</v>
      </c>
      <c r="B88" s="8" t="s">
        <v>574</v>
      </c>
      <c r="C88" s="8" t="s">
        <v>148</v>
      </c>
      <c r="D88" s="8" t="s">
        <v>96</v>
      </c>
      <c r="E88" s="8" t="s">
        <v>575</v>
      </c>
      <c r="F88" s="8" t="s">
        <v>37</v>
      </c>
      <c r="G88" s="8" t="s">
        <v>20</v>
      </c>
      <c r="H88" s="8" t="s">
        <v>576</v>
      </c>
      <c r="I88" s="8" t="s">
        <v>22</v>
      </c>
      <c r="J88" s="8" t="s">
        <v>577</v>
      </c>
      <c r="K88" s="8" t="s">
        <v>578</v>
      </c>
    </row>
    <row r="89" spans="1:11" x14ac:dyDescent="0.25">
      <c r="A89" s="8" t="s">
        <v>579</v>
      </c>
      <c r="B89" s="8" t="s">
        <v>580</v>
      </c>
      <c r="C89" s="8" t="s">
        <v>87</v>
      </c>
      <c r="D89" s="8" t="s">
        <v>163</v>
      </c>
      <c r="E89" s="8" t="s">
        <v>581</v>
      </c>
      <c r="F89" s="8" t="s">
        <v>45</v>
      </c>
      <c r="G89" s="8" t="s">
        <v>46</v>
      </c>
      <c r="H89" s="8" t="s">
        <v>582</v>
      </c>
      <c r="I89" s="8" t="s">
        <v>22</v>
      </c>
      <c r="J89" s="8" t="s">
        <v>583</v>
      </c>
      <c r="K89" s="8" t="s">
        <v>40</v>
      </c>
    </row>
    <row r="90" spans="1:11" x14ac:dyDescent="0.25">
      <c r="A90" s="8" t="s">
        <v>584</v>
      </c>
      <c r="B90" s="8" t="s">
        <v>585</v>
      </c>
      <c r="C90" s="8" t="s">
        <v>43</v>
      </c>
      <c r="D90" s="8" t="s">
        <v>602</v>
      </c>
      <c r="E90" s="8" t="s">
        <v>586</v>
      </c>
      <c r="F90" s="8" t="s">
        <v>150</v>
      </c>
      <c r="G90" s="8" t="s">
        <v>56</v>
      </c>
      <c r="H90" s="8" t="s">
        <v>587</v>
      </c>
      <c r="I90" s="8" t="s">
        <v>22</v>
      </c>
      <c r="J90" s="8" t="s">
        <v>588</v>
      </c>
      <c r="K90" s="8" t="s">
        <v>40</v>
      </c>
    </row>
    <row r="91" spans="1:11" x14ac:dyDescent="0.25">
      <c r="A91" s="8" t="s">
        <v>589</v>
      </c>
      <c r="B91" s="8" t="s">
        <v>590</v>
      </c>
      <c r="C91" s="8" t="s">
        <v>591</v>
      </c>
      <c r="D91" s="8" t="s">
        <v>592</v>
      </c>
      <c r="E91" s="8" t="s">
        <v>593</v>
      </c>
      <c r="F91" s="8" t="s">
        <v>229</v>
      </c>
      <c r="G91" s="8" t="s">
        <v>20</v>
      </c>
      <c r="H91" s="8" t="s">
        <v>594</v>
      </c>
      <c r="I91" s="8" t="s">
        <v>22</v>
      </c>
      <c r="J91" s="8" t="s">
        <v>595</v>
      </c>
      <c r="K91" s="8" t="s">
        <v>595</v>
      </c>
    </row>
    <row r="92" spans="1:11" x14ac:dyDescent="0.25">
      <c r="A92" s="8" t="s">
        <v>596</v>
      </c>
      <c r="B92" s="8" t="s">
        <v>597</v>
      </c>
      <c r="C92" s="8" t="s">
        <v>87</v>
      </c>
      <c r="D92" s="8" t="s">
        <v>28</v>
      </c>
      <c r="E92" s="8" t="s">
        <v>598</v>
      </c>
      <c r="F92" s="8" t="s">
        <v>19</v>
      </c>
      <c r="G92" s="8" t="s">
        <v>20</v>
      </c>
      <c r="H92" s="8" t="s">
        <v>599</v>
      </c>
      <c r="I92" s="8" t="s">
        <v>22</v>
      </c>
      <c r="J92" s="8" t="s">
        <v>600</v>
      </c>
      <c r="K92" s="8" t="s">
        <v>600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workbookViewId="0">
      <selection activeCell="B2" sqref="B2"/>
    </sheetView>
  </sheetViews>
  <sheetFormatPr defaultRowHeight="15" x14ac:dyDescent="0.25"/>
  <cols>
    <col min="2" max="2" width="18" customWidth="1"/>
  </cols>
  <sheetData>
    <row r="1" spans="1:2" x14ac:dyDescent="0.25">
      <c r="A1" s="6" t="s">
        <v>3</v>
      </c>
      <c r="B1" s="6" t="s">
        <v>4</v>
      </c>
    </row>
    <row r="2" spans="1:2" x14ac:dyDescent="0.25">
      <c r="A2" s="7" t="s">
        <v>119</v>
      </c>
      <c r="B2" s="7" t="str">
        <f>VLOOKUP(A2,数据源!A:B,2,0)</f>
        <v>浩天旅行社</v>
      </c>
    </row>
    <row r="3" spans="1:2" x14ac:dyDescent="0.25">
      <c r="A3" s="7" t="s">
        <v>160</v>
      </c>
      <c r="B3" s="7" t="str">
        <f>VLOOKUP(A3,数据源!A:B,2,0)</f>
        <v>正人资源</v>
      </c>
    </row>
    <row r="4" spans="1:2" x14ac:dyDescent="0.25">
      <c r="A4" s="7" t="s">
        <v>251</v>
      </c>
      <c r="B4" s="7" t="str">
        <f>VLOOKUP(A4,数据源!A:B,2,0)</f>
        <v>实翼</v>
      </c>
    </row>
    <row r="5" spans="1:2" x14ac:dyDescent="0.25">
      <c r="A5" s="7" t="s">
        <v>33</v>
      </c>
      <c r="B5" s="7" t="str">
        <f>VLOOKUP(A5,数据源!A:B,2,0)</f>
        <v>坦森行贸易</v>
      </c>
    </row>
    <row r="6" spans="1:2" x14ac:dyDescent="0.25">
      <c r="A6" s="7" t="s">
        <v>299</v>
      </c>
      <c r="B6" s="7" t="str">
        <f>VLOOKUP(A6,数据源!A:B,2,0)</f>
        <v>和福建设</v>
      </c>
    </row>
    <row r="7" spans="1:2" x14ac:dyDescent="0.25">
      <c r="A7" s="7" t="s">
        <v>305</v>
      </c>
      <c r="B7" s="7" t="str">
        <f>VLOOKUP(A7,数据源!A:B,2,0)</f>
        <v>春永建设</v>
      </c>
    </row>
    <row r="8" spans="1:2" x14ac:dyDescent="0.25">
      <c r="A8" s="7" t="s">
        <v>311</v>
      </c>
      <c r="B8" s="7" t="str">
        <f>VLOOKUP(A8,数据源!A:B,2,0)</f>
        <v>幸义房屋</v>
      </c>
    </row>
    <row r="9" spans="1:2" x14ac:dyDescent="0.25">
      <c r="A9" s="7" t="s">
        <v>317</v>
      </c>
      <c r="B9" s="7" t="str">
        <f>VLOOKUP(A9,数据源!A:B,2,0)</f>
        <v>兴中保险</v>
      </c>
    </row>
    <row r="10" spans="1:2" x14ac:dyDescent="0.25">
      <c r="A10" s="7" t="s">
        <v>322</v>
      </c>
      <c r="B10" s="7" t="str">
        <f>VLOOKUP(A10,数据源!A:B,2,0)</f>
        <v>富泰人寿</v>
      </c>
    </row>
    <row r="11" spans="1:2" x14ac:dyDescent="0.25">
      <c r="A11" s="7" t="s">
        <v>328</v>
      </c>
      <c r="B11" s="7" t="str">
        <f>VLOOKUP(A11,数据源!A:B,2,0)</f>
        <v>保信人寿</v>
      </c>
    </row>
    <row r="12" spans="1:2" x14ac:dyDescent="0.25">
      <c r="A12" s="7" t="s">
        <v>386</v>
      </c>
      <c r="B12" s="7" t="str">
        <f>VLOOKUP(A12,数据源!A:B,2,0)</f>
        <v>一诠精密工业</v>
      </c>
    </row>
    <row r="13" spans="1:2" x14ac:dyDescent="0.25">
      <c r="A13" s="7" t="s">
        <v>392</v>
      </c>
      <c r="B13" s="7" t="str">
        <f>VLOOKUP(A13,数据源!A:B,2,0)</f>
        <v>立日股份有限公司</v>
      </c>
    </row>
    <row r="14" spans="1:2" x14ac:dyDescent="0.25">
      <c r="A14" s="7" t="s">
        <v>501</v>
      </c>
      <c r="B14" s="7" t="str">
        <f>VLOOKUP(A14,数据源!A:B,2,0)</f>
        <v>昇昕股份有限公司</v>
      </c>
    </row>
    <row r="15" spans="1:2" x14ac:dyDescent="0.25">
      <c r="A15" s="7" t="s">
        <v>507</v>
      </c>
      <c r="B15" s="7" t="str">
        <f>VLOOKUP(A15,数据源!A:B,2,0)</f>
        <v>福星制衣厂股份有限公司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B2" sqref="B2:B15"/>
    </sheetView>
  </sheetViews>
  <sheetFormatPr defaultRowHeight="15" customHeight="1" x14ac:dyDescent="0.25"/>
  <cols>
    <col min="1" max="1" width="21" customWidth="1"/>
    <col min="2" max="2" width="12.33203125" customWidth="1"/>
  </cols>
  <sheetData>
    <row r="1" spans="1:2" ht="15" customHeight="1" x14ac:dyDescent="0.25">
      <c r="A1" s="6" t="s">
        <v>4</v>
      </c>
      <c r="B1" s="6" t="s">
        <v>3</v>
      </c>
    </row>
    <row r="2" spans="1:2" ht="15" customHeight="1" x14ac:dyDescent="0.25">
      <c r="A2" s="7" t="s">
        <v>120</v>
      </c>
      <c r="B2" t="str">
        <f>INDEX(数据源!A:A,MATCH(查询2!A2,数据源!B:B,0),0)</f>
        <v>CHOPS</v>
      </c>
    </row>
    <row r="3" spans="1:2" ht="15" customHeight="1" x14ac:dyDescent="0.25">
      <c r="A3" s="7" t="s">
        <v>161</v>
      </c>
      <c r="B3" t="str">
        <f>INDEX(数据源!A:A,MATCH(查询2!A3,数据源!B:B,0),0)</f>
        <v>ERNSH</v>
      </c>
    </row>
    <row r="4" spans="1:2" ht="15" customHeight="1" x14ac:dyDescent="0.25">
      <c r="A4" s="7" t="s">
        <v>252</v>
      </c>
      <c r="B4" t="str">
        <f>INDEX(数据源!A:A,MATCH(查询2!A4,数据源!B:B,0),0)</f>
        <v>HANAR</v>
      </c>
    </row>
    <row r="5" spans="1:2" ht="15" customHeight="1" x14ac:dyDescent="0.25">
      <c r="A5" s="7" t="s">
        <v>34</v>
      </c>
      <c r="B5" t="str">
        <f>INDEX(数据源!A:A,MATCH(查询2!A5,数据源!B:B,0),0)</f>
        <v>ANTON</v>
      </c>
    </row>
    <row r="6" spans="1:2" ht="15" customHeight="1" x14ac:dyDescent="0.25">
      <c r="A6" s="7" t="s">
        <v>300</v>
      </c>
      <c r="B6" t="str">
        <f>INDEX(数据源!A:A,MATCH(查询2!A6,数据源!B:B,0),0)</f>
        <v>LAUGB</v>
      </c>
    </row>
    <row r="7" spans="1:2" ht="15" customHeight="1" x14ac:dyDescent="0.25">
      <c r="A7" s="7" t="s">
        <v>306</v>
      </c>
      <c r="B7" t="str">
        <f>INDEX(数据源!A:A,MATCH(查询2!A7,数据源!B:B,0),0)</f>
        <v>LAZYK</v>
      </c>
    </row>
    <row r="8" spans="1:2" ht="15" customHeight="1" x14ac:dyDescent="0.25">
      <c r="A8" s="7" t="s">
        <v>312</v>
      </c>
      <c r="B8" t="str">
        <f>INDEX(数据源!A:A,MATCH(查询2!A8,数据源!B:B,0),0)</f>
        <v>LEHMS</v>
      </c>
    </row>
    <row r="9" spans="1:2" ht="15" customHeight="1" x14ac:dyDescent="0.25">
      <c r="A9" s="7" t="s">
        <v>318</v>
      </c>
      <c r="B9" t="str">
        <f>INDEX(数据源!A:A,MATCH(查询2!A9,数据源!B:B,0),0)</f>
        <v>LETSS</v>
      </c>
    </row>
    <row r="10" spans="1:2" ht="15" customHeight="1" x14ac:dyDescent="0.25">
      <c r="A10" s="7" t="s">
        <v>323</v>
      </c>
      <c r="B10" t="str">
        <f>INDEX(数据源!A:A,MATCH(查询2!A10,数据源!B:B,0),0)</f>
        <v>LILAS</v>
      </c>
    </row>
    <row r="11" spans="1:2" ht="15" customHeight="1" x14ac:dyDescent="0.25">
      <c r="A11" s="7" t="s">
        <v>329</v>
      </c>
      <c r="B11" t="str">
        <f>INDEX(数据源!A:A,MATCH(查询2!A11,数据源!B:B,0),0)</f>
        <v>LINOD</v>
      </c>
    </row>
    <row r="12" spans="1:2" ht="15" customHeight="1" x14ac:dyDescent="0.25">
      <c r="A12" s="7" t="s">
        <v>387</v>
      </c>
      <c r="B12" t="str">
        <f>INDEX(数据源!A:A,MATCH(查询2!A12,数据源!B:B,0),0)</f>
        <v>OTTIK</v>
      </c>
    </row>
    <row r="13" spans="1:2" ht="15" customHeight="1" x14ac:dyDescent="0.25">
      <c r="A13" s="7" t="s">
        <v>393</v>
      </c>
      <c r="B13" t="str">
        <f>INDEX(数据源!A:A,MATCH(查询2!A13,数据源!B:B,0),0)</f>
        <v>PARIS</v>
      </c>
    </row>
    <row r="14" spans="1:2" ht="15" customHeight="1" x14ac:dyDescent="0.25">
      <c r="A14" s="7" t="s">
        <v>502</v>
      </c>
      <c r="B14" t="str">
        <f>INDEX(数据源!A:A,MATCH(查询2!A14,数据源!B:B,0),0)</f>
        <v>SPLIR</v>
      </c>
    </row>
    <row r="15" spans="1:2" ht="15" customHeight="1" x14ac:dyDescent="0.25">
      <c r="A15" s="7" t="s">
        <v>508</v>
      </c>
      <c r="B15" t="str">
        <f>INDEX(数据源!A:A,MATCH(查询2!A15,数据源!B:B,0),0)</f>
        <v>SUPRD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zoomScaleNormal="100" workbookViewId="0">
      <selection activeCell="M12" sqref="M12"/>
    </sheetView>
  </sheetViews>
  <sheetFormatPr defaultRowHeight="15" x14ac:dyDescent="0.25"/>
  <cols>
    <col min="1" max="10" width="3.58203125" customWidth="1"/>
  </cols>
  <sheetData>
    <row r="1" spans="1:10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>
        <v>1</v>
      </c>
      <c r="B2">
        <f>$A2*B$1</f>
        <v>1</v>
      </c>
      <c r="C2">
        <f t="shared" ref="C2:J10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</row>
    <row r="3" spans="1:10" x14ac:dyDescent="0.25">
      <c r="A3">
        <v>2</v>
      </c>
      <c r="B3">
        <f t="shared" ref="B3:B10" si="1">$A3*B$1</f>
        <v>2</v>
      </c>
      <c r="C3">
        <f t="shared" si="0"/>
        <v>4</v>
      </c>
      <c r="D3">
        <f t="shared" si="0"/>
        <v>6</v>
      </c>
      <c r="E3">
        <f t="shared" si="0"/>
        <v>8</v>
      </c>
      <c r="F3">
        <f t="shared" si="0"/>
        <v>10</v>
      </c>
      <c r="G3">
        <f t="shared" si="0"/>
        <v>12</v>
      </c>
      <c r="H3">
        <f t="shared" si="0"/>
        <v>14</v>
      </c>
      <c r="I3">
        <f t="shared" si="0"/>
        <v>16</v>
      </c>
      <c r="J3">
        <f t="shared" si="0"/>
        <v>18</v>
      </c>
    </row>
    <row r="4" spans="1:10" x14ac:dyDescent="0.25">
      <c r="A4">
        <v>3</v>
      </c>
      <c r="B4">
        <f t="shared" si="1"/>
        <v>3</v>
      </c>
      <c r="C4">
        <f t="shared" si="0"/>
        <v>6</v>
      </c>
      <c r="D4">
        <f t="shared" si="0"/>
        <v>9</v>
      </c>
      <c r="E4">
        <f t="shared" si="0"/>
        <v>12</v>
      </c>
      <c r="F4">
        <f t="shared" si="0"/>
        <v>15</v>
      </c>
      <c r="G4">
        <f t="shared" si="0"/>
        <v>18</v>
      </c>
      <c r="H4">
        <f t="shared" si="0"/>
        <v>21</v>
      </c>
      <c r="I4">
        <f t="shared" si="0"/>
        <v>24</v>
      </c>
      <c r="J4">
        <f t="shared" si="0"/>
        <v>27</v>
      </c>
    </row>
    <row r="5" spans="1:10" x14ac:dyDescent="0.25">
      <c r="A5">
        <v>4</v>
      </c>
      <c r="B5">
        <f t="shared" si="1"/>
        <v>4</v>
      </c>
      <c r="C5">
        <f t="shared" si="0"/>
        <v>8</v>
      </c>
      <c r="D5">
        <f t="shared" si="0"/>
        <v>12</v>
      </c>
      <c r="E5">
        <f t="shared" si="0"/>
        <v>16</v>
      </c>
      <c r="F5">
        <f t="shared" si="0"/>
        <v>20</v>
      </c>
      <c r="G5">
        <f t="shared" si="0"/>
        <v>24</v>
      </c>
      <c r="H5">
        <f t="shared" si="0"/>
        <v>28</v>
      </c>
      <c r="I5">
        <f t="shared" si="0"/>
        <v>32</v>
      </c>
      <c r="J5">
        <f t="shared" si="0"/>
        <v>36</v>
      </c>
    </row>
    <row r="6" spans="1:10" x14ac:dyDescent="0.25">
      <c r="A6">
        <v>5</v>
      </c>
      <c r="B6">
        <f t="shared" si="1"/>
        <v>5</v>
      </c>
      <c r="C6">
        <f t="shared" si="0"/>
        <v>10</v>
      </c>
      <c r="D6">
        <f t="shared" si="0"/>
        <v>15</v>
      </c>
      <c r="E6">
        <f t="shared" si="0"/>
        <v>20</v>
      </c>
      <c r="F6">
        <f t="shared" si="0"/>
        <v>25</v>
      </c>
      <c r="G6">
        <f t="shared" si="0"/>
        <v>30</v>
      </c>
      <c r="H6">
        <f t="shared" si="0"/>
        <v>35</v>
      </c>
      <c r="I6">
        <f t="shared" si="0"/>
        <v>40</v>
      </c>
      <c r="J6">
        <f t="shared" si="0"/>
        <v>45</v>
      </c>
    </row>
    <row r="7" spans="1:10" x14ac:dyDescent="0.25">
      <c r="A7">
        <v>6</v>
      </c>
      <c r="B7">
        <f t="shared" si="1"/>
        <v>6</v>
      </c>
      <c r="C7">
        <f t="shared" si="0"/>
        <v>12</v>
      </c>
      <c r="D7">
        <f t="shared" si="0"/>
        <v>18</v>
      </c>
      <c r="E7">
        <f t="shared" si="0"/>
        <v>24</v>
      </c>
      <c r="F7">
        <f t="shared" si="0"/>
        <v>30</v>
      </c>
      <c r="G7">
        <f t="shared" si="0"/>
        <v>36</v>
      </c>
      <c r="H7">
        <f t="shared" si="0"/>
        <v>42</v>
      </c>
      <c r="I7">
        <f t="shared" si="0"/>
        <v>48</v>
      </c>
      <c r="J7">
        <f t="shared" si="0"/>
        <v>54</v>
      </c>
    </row>
    <row r="8" spans="1:10" x14ac:dyDescent="0.25">
      <c r="A8">
        <v>7</v>
      </c>
      <c r="B8">
        <f t="shared" si="1"/>
        <v>7</v>
      </c>
      <c r="C8">
        <f t="shared" si="0"/>
        <v>14</v>
      </c>
      <c r="D8">
        <f t="shared" si="0"/>
        <v>21</v>
      </c>
      <c r="E8">
        <f t="shared" si="0"/>
        <v>28</v>
      </c>
      <c r="F8">
        <f t="shared" si="0"/>
        <v>35</v>
      </c>
      <c r="G8">
        <f t="shared" si="0"/>
        <v>42</v>
      </c>
      <c r="H8">
        <f t="shared" si="0"/>
        <v>49</v>
      </c>
      <c r="I8">
        <f t="shared" si="0"/>
        <v>56</v>
      </c>
      <c r="J8">
        <f t="shared" si="0"/>
        <v>63</v>
      </c>
    </row>
    <row r="9" spans="1:10" x14ac:dyDescent="0.25">
      <c r="A9">
        <v>8</v>
      </c>
      <c r="B9">
        <f t="shared" si="1"/>
        <v>8</v>
      </c>
      <c r="C9">
        <f t="shared" si="0"/>
        <v>16</v>
      </c>
      <c r="D9">
        <f t="shared" si="0"/>
        <v>24</v>
      </c>
      <c r="E9">
        <f t="shared" si="0"/>
        <v>32</v>
      </c>
      <c r="F9">
        <f t="shared" si="0"/>
        <v>40</v>
      </c>
      <c r="G9">
        <f t="shared" si="0"/>
        <v>48</v>
      </c>
      <c r="H9">
        <f t="shared" si="0"/>
        <v>56</v>
      </c>
      <c r="I9">
        <f t="shared" si="0"/>
        <v>64</v>
      </c>
      <c r="J9">
        <f t="shared" si="0"/>
        <v>72</v>
      </c>
    </row>
    <row r="10" spans="1:10" x14ac:dyDescent="0.25">
      <c r="A10">
        <v>9</v>
      </c>
      <c r="B10">
        <f t="shared" si="1"/>
        <v>9</v>
      </c>
      <c r="C10">
        <f t="shared" si="0"/>
        <v>18</v>
      </c>
      <c r="D10">
        <f t="shared" si="0"/>
        <v>27</v>
      </c>
      <c r="E10">
        <f t="shared" si="0"/>
        <v>36</v>
      </c>
      <c r="F10">
        <f t="shared" si="0"/>
        <v>45</v>
      </c>
      <c r="G10">
        <f t="shared" si="0"/>
        <v>54</v>
      </c>
      <c r="H10">
        <f t="shared" si="0"/>
        <v>63</v>
      </c>
      <c r="I10">
        <f t="shared" si="0"/>
        <v>72</v>
      </c>
      <c r="J10">
        <f t="shared" si="0"/>
        <v>81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9"/>
  <sheetViews>
    <sheetView workbookViewId="0">
      <selection activeCell="A3" sqref="A3:XFD5"/>
    </sheetView>
  </sheetViews>
  <sheetFormatPr defaultRowHeight="15" x14ac:dyDescent="0.25"/>
  <sheetData>
    <row r="2" spans="1:6" x14ac:dyDescent="0.25">
      <c r="A2" s="9" t="s">
        <v>3</v>
      </c>
      <c r="B2" s="9" t="s">
        <v>4</v>
      </c>
      <c r="C2" s="9" t="s">
        <v>7</v>
      </c>
      <c r="D2" s="9" t="s">
        <v>5</v>
      </c>
      <c r="E2" s="9" t="s">
        <v>12</v>
      </c>
      <c r="F2" s="9" t="s">
        <v>8</v>
      </c>
    </row>
    <row r="3" spans="1:6" x14ac:dyDescent="0.25">
      <c r="A3" s="10" t="s">
        <v>612</v>
      </c>
      <c r="B3" t="str">
        <f>VLOOKUP($A3,数据源!$A$1:$K$92,MATCH(返回多列结果!B$2,数据源!$A$1:$K$1,0),0)</f>
        <v>浩天旅行社</v>
      </c>
      <c r="C3" t="str">
        <f>VLOOKUP($A3,数据源!$A$1:$K$92,MATCH(返回多列结果!C$2,数据源!$A$1:$K$1,0),0)</f>
        <v>白广路 314 号</v>
      </c>
      <c r="D3" t="str">
        <f>VLOOKUP($A3,数据源!$A$1:$K$92,MATCH(返回多列结果!D$2,数据源!$A$1:$K$1,0),0)</f>
        <v>方先生</v>
      </c>
      <c r="E3" t="str">
        <f>VLOOKUP($A3,数据源!$A$1:$K$92,MATCH(返回多列结果!E$2,数据源!$A$1:$K$1,0),0)</f>
        <v>(030) 30076545</v>
      </c>
      <c r="F3" t="str">
        <f>VLOOKUP($A3,数据源!$A$1:$K$92,MATCH(返回多列结果!F$2,数据源!$A$1:$K$1,0),0)</f>
        <v>天津</v>
      </c>
    </row>
    <row r="4" spans="1:6" x14ac:dyDescent="0.25">
      <c r="A4" s="10" t="s">
        <v>613</v>
      </c>
      <c r="B4" t="str">
        <f>VLOOKUP($A4,数据源!$A$1:$K$92,MATCH(返回多列结果!B$2,数据源!$A$1:$K$1,0),0)</f>
        <v>正人资源</v>
      </c>
      <c r="C4" t="str">
        <f>VLOOKUP($A4,数据源!$A$1:$K$92,MATCH(返回多列结果!C$2,数据源!$A$1:$K$1,0),0)</f>
        <v>临江东街 62 号</v>
      </c>
      <c r="D4" t="str">
        <f>VLOOKUP($A4,数据源!$A$1:$K$92,MATCH(返回多列结果!D$2,数据源!$A$1:$K$1,0),0)</f>
        <v>谢小姐</v>
      </c>
      <c r="E4" t="str">
        <f>VLOOKUP($A4,数据源!$A$1:$K$92,MATCH(返回多列结果!E$2,数据源!$A$1:$K$1,0),0)</f>
        <v>(0571) 76753425</v>
      </c>
      <c r="F4" t="str">
        <f>VLOOKUP($A4,数据源!$A$1:$K$92,MATCH(返回多列结果!F$2,数据源!$A$1:$K$1,0),0)</f>
        <v>深圳</v>
      </c>
    </row>
    <row r="5" spans="1:6" x14ac:dyDescent="0.25">
      <c r="A5" s="10" t="s">
        <v>614</v>
      </c>
      <c r="B5" t="str">
        <f>VLOOKUP($A5,数据源!$A$1:$K$92,MATCH(返回多列结果!B$2,数据源!$A$1:$K$1,0),0)</f>
        <v>实翼</v>
      </c>
      <c r="C5" t="str">
        <f>VLOOKUP($A5,数据源!$A$1:$K$92,MATCH(返回多列结果!C$2,数据源!$A$1:$K$1,0),0)</f>
        <v>永惠西街 392 号</v>
      </c>
      <c r="D5" t="str">
        <f>VLOOKUP($A5,数据源!$A$1:$K$92,MATCH(返回多列结果!D$2,数据源!$A$1:$K$1,0),0)</f>
        <v>谢小姐</v>
      </c>
      <c r="E5" t="str">
        <f>VLOOKUP($A5,数据源!$A$1:$K$92,MATCH(返回多列结果!E$2,数据源!$A$1:$K$1,0),0)</f>
        <v>(0211) 5550091</v>
      </c>
      <c r="F5" t="str">
        <f>VLOOKUP($A5,数据源!$A$1:$K$92,MATCH(返回多列结果!F$2,数据源!$A$1:$K$1,0),0)</f>
        <v>南昌</v>
      </c>
    </row>
    <row r="6" spans="1:6" x14ac:dyDescent="0.25">
      <c r="A6" s="10" t="s">
        <v>615</v>
      </c>
      <c r="B6" t="str">
        <f>VLOOKUP($A6,数据源!$A$1:$K$92,MATCH(返回多列结果!B$2,数据源!$A$1:$K$1,0),0)</f>
        <v>坦森行贸易</v>
      </c>
      <c r="C6" t="str">
        <f>VLOOKUP($A6,数据源!$A$1:$K$92,MATCH(返回多列结果!C$2,数据源!$A$1:$K$1,0),0)</f>
        <v>黄台北路 780 号</v>
      </c>
      <c r="D6" t="str">
        <f>VLOOKUP($A6,数据源!$A$1:$K$92,MATCH(返回多列结果!D$2,数据源!$A$1:$K$1,0),0)</f>
        <v>王炫皓</v>
      </c>
      <c r="E6" t="str">
        <f>VLOOKUP($A6,数据源!$A$1:$K$92,MATCH(返回多列结果!E$2,数据源!$A$1:$K$1,0),0)</f>
        <v>(0321) 5553932</v>
      </c>
      <c r="F6" t="str">
        <f>VLOOKUP($A6,数据源!$A$1:$K$92,MATCH(返回多列结果!F$2,数据源!$A$1:$K$1,0),0)</f>
        <v>石家庄</v>
      </c>
    </row>
    <row r="7" spans="1:6" x14ac:dyDescent="0.25">
      <c r="A7" s="10" t="s">
        <v>616</v>
      </c>
      <c r="B7" t="str">
        <f>VLOOKUP($A7,数据源!$A$1:$K$92,MATCH(返回多列结果!B$2,数据源!$A$1:$K$1,0),0)</f>
        <v>和福建设</v>
      </c>
      <c r="C7" t="str">
        <f>VLOOKUP($A7,数据源!$A$1:$K$92,MATCH(返回多列结果!C$2,数据源!$A$1:$K$1,0),0)</f>
        <v>创业西路 238 号</v>
      </c>
      <c r="D7" t="str">
        <f>VLOOKUP($A7,数据源!$A$1:$K$92,MATCH(返回多列结果!D$2,数据源!$A$1:$K$1,0),0)</f>
        <v>刘先生</v>
      </c>
      <c r="E7" t="str">
        <f>VLOOKUP($A7,数据源!$A$1:$K$92,MATCH(返回多列结果!E$2,数据源!$A$1:$K$1,0),0)</f>
        <v>(030) 15553392</v>
      </c>
      <c r="F7" t="str">
        <f>VLOOKUP($A7,数据源!$A$1:$K$92,MATCH(返回多列结果!F$2,数据源!$A$1:$K$1,0),0)</f>
        <v>天津</v>
      </c>
    </row>
    <row r="8" spans="1:6" x14ac:dyDescent="0.25">
      <c r="A8" s="10" t="s">
        <v>617</v>
      </c>
      <c r="B8" t="str">
        <f>VLOOKUP($A8,数据源!$A$1:$K$92,MATCH(返回多列结果!B$2,数据源!$A$1:$K$1,0),0)</f>
        <v>春永建设</v>
      </c>
      <c r="C8" t="str">
        <f>VLOOKUP($A8,数据源!$A$1:$K$92,MATCH(返回多列结果!C$2,数据源!$A$1:$K$1,0),0)</f>
        <v>劳动辅路 395 号</v>
      </c>
      <c r="D8" t="str">
        <f>VLOOKUP($A8,数据源!$A$1:$K$92,MATCH(返回多列结果!D$2,数据源!$A$1:$K$1,0),0)</f>
        <v>王先生</v>
      </c>
      <c r="E8" t="str">
        <f>VLOOKUP($A8,数据源!$A$1:$K$92,MATCH(返回多列结果!E$2,数据源!$A$1:$K$1,0),0)</f>
        <v>(0571) 35557969</v>
      </c>
      <c r="F8" t="str">
        <f>VLOOKUP($A8,数据源!$A$1:$K$92,MATCH(返回多列结果!F$2,数据源!$A$1:$K$1,0),0)</f>
        <v>深圳</v>
      </c>
    </row>
    <row r="9" spans="1:6" x14ac:dyDescent="0.25">
      <c r="A9" s="10" t="s">
        <v>618</v>
      </c>
      <c r="B9" t="str">
        <f>VLOOKUP($A9,数据源!$A$1:$K$92,MATCH(返回多列结果!B$2,数据源!$A$1:$K$1,0),0)</f>
        <v>幸义房屋</v>
      </c>
      <c r="C9" t="str">
        <f>VLOOKUP($A9,数据源!$A$1:$K$92,MATCH(返回多列结果!C$2,数据源!$A$1:$K$1,0),0)</f>
        <v>七一路 89 号</v>
      </c>
      <c r="D9" t="str">
        <f>VLOOKUP($A9,数据源!$A$1:$K$92,MATCH(返回多列结果!D$2,数据源!$A$1:$K$1,0),0)</f>
        <v>刘先生</v>
      </c>
      <c r="E9" t="str">
        <f>VLOOKUP($A9,数据源!$A$1:$K$92,MATCH(返回多列结果!E$2,数据源!$A$1:$K$1,0),0)</f>
        <v>(069) 20245984</v>
      </c>
      <c r="F9" t="str">
        <f>VLOOKUP($A9,数据源!$A$1:$K$92,MATCH(返回多列结果!F$2,数据源!$A$1:$K$1,0),0)</f>
        <v>南京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C517-A7C7-43AF-8899-1F8E02AED6C5}">
  <dimension ref="A1:L4"/>
  <sheetViews>
    <sheetView tabSelected="1" zoomScale="130" zoomScaleNormal="130" workbookViewId="0">
      <selection activeCell="G7" sqref="G7"/>
    </sheetView>
  </sheetViews>
  <sheetFormatPr defaultRowHeight="15" x14ac:dyDescent="0.25"/>
  <sheetData>
    <row r="1" spans="1:12" ht="38.5" customHeight="1" thickTop="1" x14ac:dyDescent="0.25">
      <c r="A1" s="10" t="s">
        <v>612</v>
      </c>
      <c r="B1" t="str">
        <f>VLOOKUP($A1,数据源!$A$1:$K$92,MATCH(返回多列结果!B$2,数据源!$A$1:$K$1,0),0)</f>
        <v>浩天旅行社</v>
      </c>
      <c r="C1" t="str">
        <f>VLOOKUP($A1,数据源!$A$1:$K$92,MATCH(返回多列结果!C$2,数据源!$A$1:$K$1,0),0)</f>
        <v>白广路 314 号</v>
      </c>
      <c r="D1" t="str">
        <f>VLOOKUP($A1,数据源!$A$1:$K$92,MATCH(返回多列结果!D$2,数据源!$A$1:$K$1,0),0)</f>
        <v>方先生</v>
      </c>
      <c r="E1" t="str">
        <f>VLOOKUP($A1,数据源!$A$1:$K$92,MATCH(返回多列结果!E$2,数据源!$A$1:$K$1,0),0)</f>
        <v>(030) 30076545</v>
      </c>
      <c r="F1" t="str">
        <f>VLOOKUP($A1,数据源!$A$1:$K$92,MATCH(返回多列结果!F$2,数据源!$A$1:$K$1,0),0)</f>
        <v>天津</v>
      </c>
      <c r="G1" s="11" t="s">
        <v>619</v>
      </c>
      <c r="J1" s="16" t="s">
        <v>621</v>
      </c>
      <c r="K1" s="12" t="s">
        <v>162</v>
      </c>
      <c r="L1" s="13"/>
    </row>
    <row r="2" spans="1:12" ht="38.5" customHeight="1" x14ac:dyDescent="0.25">
      <c r="A2" s="10" t="s">
        <v>613</v>
      </c>
      <c r="B2" t="str">
        <f>VLOOKUP($A2,数据源!$A$1:$K$92,MATCH(返回多列结果!B$2,数据源!$A$1:$K$1,0),0)</f>
        <v>正人资源</v>
      </c>
      <c r="C2" t="str">
        <f>VLOOKUP($A2,数据源!$A$1:$K$92,MATCH(返回多列结果!C$2,数据源!$A$1:$K$1,0),0)</f>
        <v>临江东街 62 号</v>
      </c>
      <c r="D2" t="str">
        <f>VLOOKUP($A2,数据源!$A$1:$K$92,MATCH(返回多列结果!D$2,数据源!$A$1:$K$1,0),0)</f>
        <v>谢小姐</v>
      </c>
      <c r="E2" t="str">
        <f>VLOOKUP($A2,数据源!$A$1:$K$92,MATCH(返回多列结果!E$2,数据源!$A$1:$K$1,0),0)</f>
        <v>(0571) 76753425</v>
      </c>
      <c r="F2" t="str">
        <f>VLOOKUP($A2,数据源!$A$1:$K$92,MATCH(返回多列结果!F$2,数据源!$A$1:$K$1,0),0)</f>
        <v>深圳</v>
      </c>
      <c r="G2" s="11" t="s">
        <v>620</v>
      </c>
      <c r="J2" s="17" t="s">
        <v>622</v>
      </c>
      <c r="K2" t="str">
        <f>VLOOKUP(K1,D1:G3,4)</f>
        <v>女</v>
      </c>
      <c r="L2" s="14"/>
    </row>
    <row r="3" spans="1:12" ht="38.5" customHeight="1" thickBot="1" x14ac:dyDescent="0.3">
      <c r="A3" s="10" t="s">
        <v>614</v>
      </c>
      <c r="B3" t="str">
        <f>VLOOKUP($A3,数据源!$A$1:$K$92,MATCH(返回多列结果!B$2,数据源!$A$1:$K$1,0),0)</f>
        <v>实翼</v>
      </c>
      <c r="C3" t="str">
        <f>VLOOKUP($A3,数据源!$A$1:$K$92,MATCH(返回多列结果!C$2,数据源!$A$1:$K$1,0),0)</f>
        <v>永惠西街 392 号</v>
      </c>
      <c r="D3" t="str">
        <f>VLOOKUP($A3,数据源!$A$1:$K$92,MATCH(返回多列结果!D$2,数据源!$A$1:$K$1,0),0)</f>
        <v>谢小姐</v>
      </c>
      <c r="E3" t="str">
        <f>VLOOKUP($A3,数据源!$A$1:$K$92,MATCH(返回多列结果!E$2,数据源!$A$1:$K$1,0),0)</f>
        <v>(0211) 5550091</v>
      </c>
      <c r="F3" t="str">
        <f>VLOOKUP($A3,数据源!$A$1:$K$92,MATCH(返回多列结果!F$2,数据源!$A$1:$K$1,0),0)</f>
        <v>南昌</v>
      </c>
      <c r="G3" s="11" t="s">
        <v>620</v>
      </c>
      <c r="J3" s="18" t="s">
        <v>623</v>
      </c>
      <c r="K3">
        <f>VLOOKUP(K1,D1:H3,5)</f>
        <v>0</v>
      </c>
      <c r="L3" s="15"/>
    </row>
    <row r="4" spans="1:12" ht="15.5" thickTop="1" x14ac:dyDescent="0.25"/>
  </sheetData>
  <phoneticPr fontId="1" type="noConversion"/>
  <dataValidations count="1">
    <dataValidation type="list" allowBlank="1" showInputMessage="1" showErrorMessage="1" sqref="K1" xr:uid="{7F7A1FAE-AAAC-4292-BABD-B1347E78C958}">
      <formula1>$D$1:$D$3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3:J10"/>
  <sheetViews>
    <sheetView workbookViewId="0">
      <selection activeCell="J16" sqref="J16"/>
    </sheetView>
  </sheetViews>
  <sheetFormatPr defaultRowHeight="15" x14ac:dyDescent="0.25"/>
  <sheetData>
    <row r="3" spans="4:10" x14ac:dyDescent="0.25">
      <c r="D3" s="9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</row>
    <row r="4" spans="4:10" x14ac:dyDescent="0.25">
      <c r="D4" s="10" t="s">
        <v>612</v>
      </c>
      <c r="E4" t="str">
        <f>VLOOKUP($D4,数据源!$A$1:$K$92,COLUMN()-3,0)</f>
        <v>浩天旅行社</v>
      </c>
      <c r="F4" t="str">
        <f>VLOOKUP($D4,数据源!$A$1:$K$92,COLUMN()-3,0)</f>
        <v>方先生</v>
      </c>
      <c r="G4" t="str">
        <f>VLOOKUP($D4,数据源!$A$1:$K$92,COLUMN()-3,0)</f>
        <v>物主</v>
      </c>
      <c r="H4" t="str">
        <f>VLOOKUP($D4,数据源!$A$1:$K$92,COLUMN()-3,0)</f>
        <v>白广路 314 号</v>
      </c>
      <c r="I4" t="str">
        <f>VLOOKUP($D4,数据源!$A$1:$K$92,COLUMN()-3,0)</f>
        <v>天津</v>
      </c>
      <c r="J4" t="str">
        <f>VLOOKUP($D4,数据源!$A$1:$K$92,COLUMN()-3,0)</f>
        <v>华北</v>
      </c>
    </row>
    <row r="5" spans="4:10" x14ac:dyDescent="0.25">
      <c r="D5" s="10" t="s">
        <v>613</v>
      </c>
      <c r="E5" t="str">
        <f>VLOOKUP($D5,数据源!$A$1:$K$92,COLUMN()-3,0)</f>
        <v>正人资源</v>
      </c>
      <c r="F5" t="str">
        <f>VLOOKUP($D5,数据源!$A$1:$K$92,COLUMN()-3,0)</f>
        <v>谢小姐</v>
      </c>
      <c r="G5" t="str">
        <f>VLOOKUP($D5,数据源!$A$1:$K$92,COLUMN()-3,0)</f>
        <v>销售经理</v>
      </c>
      <c r="H5" t="str">
        <f>VLOOKUP($D5,数据源!$A$1:$K$92,COLUMN()-3,0)</f>
        <v>临江东街 62 号</v>
      </c>
      <c r="I5" t="str">
        <f>VLOOKUP($D5,数据源!$A$1:$K$92,COLUMN()-3,0)</f>
        <v>深圳</v>
      </c>
      <c r="J5" t="str">
        <f>VLOOKUP($D5,数据源!$A$1:$K$92,COLUMN()-3,0)</f>
        <v>华南</v>
      </c>
    </row>
    <row r="6" spans="4:10" x14ac:dyDescent="0.25">
      <c r="D6" s="10" t="s">
        <v>614</v>
      </c>
      <c r="E6" t="str">
        <f>VLOOKUP($D6,数据源!$A$1:$K$92,COLUMN()-3,0)</f>
        <v>实翼</v>
      </c>
      <c r="F6" t="str">
        <f>VLOOKUP($D6,数据源!$A$1:$K$92,COLUMN()-3,0)</f>
        <v>谢小姐</v>
      </c>
      <c r="G6" t="str">
        <f>VLOOKUP($D6,数据源!$A$1:$K$92,COLUMN()-3,0)</f>
        <v>结算经理</v>
      </c>
      <c r="H6" t="str">
        <f>VLOOKUP($D6,数据源!$A$1:$K$92,COLUMN()-3,0)</f>
        <v>永惠西街 392 号</v>
      </c>
      <c r="I6" t="str">
        <f>VLOOKUP($D6,数据源!$A$1:$K$92,COLUMN()-3,0)</f>
        <v>南昌</v>
      </c>
      <c r="J6" t="str">
        <f>VLOOKUP($D6,数据源!$A$1:$K$92,COLUMN()-3,0)</f>
        <v>华东</v>
      </c>
    </row>
    <row r="7" spans="4:10" x14ac:dyDescent="0.25">
      <c r="D7" s="10" t="s">
        <v>615</v>
      </c>
      <c r="E7" t="str">
        <f>VLOOKUP($D7,数据源!$A$1:$K$92,COLUMN()-3,0)</f>
        <v>坦森行贸易</v>
      </c>
      <c r="F7" t="str">
        <f>VLOOKUP($D7,数据源!$A$1:$K$92,COLUMN()-3,0)</f>
        <v>王炫皓</v>
      </c>
      <c r="G7" t="str">
        <f>VLOOKUP($D7,数据源!$A$1:$K$92,COLUMN()-3,0)</f>
        <v>物主</v>
      </c>
      <c r="H7" t="str">
        <f>VLOOKUP($D7,数据源!$A$1:$K$92,COLUMN()-3,0)</f>
        <v>黄台北路 780 号</v>
      </c>
      <c r="I7" t="str">
        <f>VLOOKUP($D7,数据源!$A$1:$K$92,COLUMN()-3,0)</f>
        <v>石家庄</v>
      </c>
      <c r="J7" t="str">
        <f>VLOOKUP($D7,数据源!$A$1:$K$92,COLUMN()-3,0)</f>
        <v>华北</v>
      </c>
    </row>
    <row r="8" spans="4:10" x14ac:dyDescent="0.25">
      <c r="D8" s="10" t="s">
        <v>616</v>
      </c>
      <c r="E8" t="str">
        <f>VLOOKUP($D8,数据源!$A$1:$K$92,COLUMN()-3,0)</f>
        <v>和福建设</v>
      </c>
      <c r="F8" t="str">
        <f>VLOOKUP($D8,数据源!$A$1:$K$92,COLUMN()-3,0)</f>
        <v>刘先生</v>
      </c>
      <c r="G8" t="str">
        <f>VLOOKUP($D8,数据源!$A$1:$K$92,COLUMN()-3,0)</f>
        <v>市场助理</v>
      </c>
      <c r="H8" t="str">
        <f>VLOOKUP($D8,数据源!$A$1:$K$92,COLUMN()-3,0)</f>
        <v>创业西路 238 号</v>
      </c>
      <c r="I8" t="str">
        <f>VLOOKUP($D8,数据源!$A$1:$K$92,COLUMN()-3,0)</f>
        <v>天津</v>
      </c>
      <c r="J8" t="str">
        <f>VLOOKUP($D8,数据源!$A$1:$K$92,COLUMN()-3,0)</f>
        <v>华北</v>
      </c>
    </row>
    <row r="9" spans="4:10" x14ac:dyDescent="0.25">
      <c r="D9" s="10" t="s">
        <v>617</v>
      </c>
      <c r="E9" t="str">
        <f>VLOOKUP($D9,数据源!$A$1:$K$92,COLUMN()-3,0)</f>
        <v>春永建设</v>
      </c>
      <c r="F9" t="str">
        <f>VLOOKUP($D9,数据源!$A$1:$K$92,COLUMN()-3,0)</f>
        <v>王先生</v>
      </c>
      <c r="G9" t="str">
        <f>VLOOKUP($D9,数据源!$A$1:$K$92,COLUMN()-3,0)</f>
        <v>市场经理</v>
      </c>
      <c r="H9" t="str">
        <f>VLOOKUP($D9,数据源!$A$1:$K$92,COLUMN()-3,0)</f>
        <v>劳动辅路 395 号</v>
      </c>
      <c r="I9" t="str">
        <f>VLOOKUP($D9,数据源!$A$1:$K$92,COLUMN()-3,0)</f>
        <v>深圳</v>
      </c>
      <c r="J9" t="str">
        <f>VLOOKUP($D9,数据源!$A$1:$K$92,COLUMN()-3,0)</f>
        <v>华南</v>
      </c>
    </row>
    <row r="10" spans="4:10" x14ac:dyDescent="0.25">
      <c r="D10" s="10" t="s">
        <v>618</v>
      </c>
      <c r="E10" t="str">
        <f>VLOOKUP($D10,数据源!$A$1:$K$92,COLUMN()-3,0)</f>
        <v>幸义房屋</v>
      </c>
      <c r="F10" t="str">
        <f>VLOOKUP($D10,数据源!$A$1:$K$92,COLUMN()-3,0)</f>
        <v>刘先生</v>
      </c>
      <c r="G10" t="str">
        <f>VLOOKUP($D10,数据源!$A$1:$K$92,COLUMN()-3,0)</f>
        <v>销售代表</v>
      </c>
      <c r="H10" t="str">
        <f>VLOOKUP($D10,数据源!$A$1:$K$92,COLUMN()-3,0)</f>
        <v>七一路 89 号</v>
      </c>
      <c r="I10" t="str">
        <f>VLOOKUP($D10,数据源!$A$1:$K$92,COLUMN()-3,0)</f>
        <v>南京</v>
      </c>
      <c r="J10" t="str">
        <f>VLOOKUP($D10,数据源!$A$1:$K$92,COLUMN()-3,0)</f>
        <v>华东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EXCEL课件</vt:lpstr>
      <vt:lpstr>数据源</vt:lpstr>
      <vt:lpstr>查询</vt:lpstr>
      <vt:lpstr>查询2</vt:lpstr>
      <vt:lpstr>单元格引用原理</vt:lpstr>
      <vt:lpstr>返回多列结果</vt:lpstr>
      <vt:lpstr>Sheet1</vt:lpstr>
      <vt:lpstr>返回多列结果2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2025-10-01T04:18:53Z</dcterms:modified>
</cp:coreProperties>
</file>